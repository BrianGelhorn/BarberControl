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rian\Documents\TheLuxe\Desarrollo\templates\"/>
    </mc:Choice>
  </mc:AlternateContent>
  <xr:revisionPtr revIDLastSave="0" documentId="13_ncr:1_{55BD89A0-FBBC-4541-BAB1-E2227A111309}" xr6:coauthVersionLast="47" xr6:coauthVersionMax="47" xr10:uidLastSave="{00000000-0000-0000-0000-000000000000}"/>
  <bookViews>
    <workbookView xWindow="-108" yWindow="-108" windowWidth="23256" windowHeight="14016" activeTab="1" xr2:uid="{D720BB1E-C668-445F-BB14-D44A68D749F2}"/>
  </bookViews>
  <sheets>
    <sheet name="Barberos" sheetId="1" r:id="rId1"/>
    <sheet name="AdelantosVent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9" i="2" l="1"/>
  <c r="Q39" i="1"/>
  <c r="A28" i="2"/>
  <c r="A27" i="2"/>
  <c r="A26" i="2"/>
  <c r="A25" i="2"/>
  <c r="A24" i="2"/>
  <c r="A23" i="2"/>
  <c r="A22" i="2"/>
  <c r="A21" i="2"/>
  <c r="U39" i="1"/>
  <c r="AG37" i="1"/>
  <c r="AC37" i="1"/>
  <c r="Y37" i="1"/>
  <c r="U37" i="1"/>
  <c r="Q37" i="1"/>
  <c r="M37" i="1"/>
  <c r="I37" i="1"/>
  <c r="E37" i="1"/>
  <c r="A37" i="1"/>
  <c r="AG36" i="1"/>
  <c r="AC36" i="1"/>
  <c r="Y36" i="1"/>
  <c r="U36" i="1"/>
  <c r="Q36" i="1"/>
  <c r="M36" i="1"/>
  <c r="I36" i="1"/>
  <c r="E36" i="1"/>
  <c r="A36" i="1"/>
  <c r="AG35" i="1"/>
  <c r="AC35" i="1"/>
  <c r="Y35" i="1"/>
  <c r="U35" i="1"/>
  <c r="Q35" i="1"/>
  <c r="M35" i="1"/>
  <c r="I35" i="1"/>
  <c r="E35" i="1"/>
  <c r="A35" i="1"/>
  <c r="H36" i="2"/>
  <c r="G36" i="2"/>
  <c r="Y39" i="1" l="1"/>
  <c r="A38" i="1"/>
  <c r="AG39" i="1"/>
  <c r="M39" i="1"/>
  <c r="I39" i="1"/>
  <c r="Q38" i="1"/>
  <c r="U38" i="1"/>
  <c r="Y38" i="1"/>
  <c r="AC39" i="1"/>
  <c r="E38" i="1"/>
  <c r="I38" i="1"/>
  <c r="M38" i="1"/>
  <c r="A39" i="1"/>
  <c r="E39" i="1"/>
  <c r="AC38" i="1"/>
  <c r="AG38" i="1"/>
  <c r="C36" i="2"/>
  <c r="F40" i="1" s="1" a="1"/>
  <c r="F40" i="1" s="1"/>
  <c r="B36" i="2"/>
  <c r="B40" i="1" s="1" a="1"/>
  <c r="B40" i="1" s="1"/>
  <c r="M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<sst xmlns="http://schemas.openxmlformats.org/spreadsheetml/2006/main" count="69" uniqueCount="27">
  <si>
    <t>Nombre</t>
  </si>
  <si>
    <t>Propi</t>
  </si>
  <si>
    <t>MP</t>
  </si>
  <si>
    <t>Fecha:</t>
  </si>
  <si>
    <t>Salida de caja</t>
  </si>
  <si>
    <t>Motivo</t>
  </si>
  <si>
    <t>Importe</t>
  </si>
  <si>
    <t>Adelantos</t>
  </si>
  <si>
    <t>TOTAL</t>
  </si>
  <si>
    <t>Producto</t>
  </si>
  <si>
    <t>Ventas</t>
  </si>
  <si>
    <t>Barbero9</t>
  </si>
  <si>
    <t>Hora</t>
  </si>
  <si>
    <t xml:space="preserve">Retiro: </t>
  </si>
  <si>
    <t>EFECTIVO</t>
  </si>
  <si>
    <t>Caja Inicial:</t>
  </si>
  <si>
    <t>Aclaracion:</t>
  </si>
  <si>
    <t>Barbero1</t>
  </si>
  <si>
    <t>Barbero2</t>
  </si>
  <si>
    <t>Barbero3</t>
  </si>
  <si>
    <t>Barbero4</t>
  </si>
  <si>
    <t>Barbero5</t>
  </si>
  <si>
    <t>Barbero6</t>
  </si>
  <si>
    <t>Barbero7</t>
  </si>
  <si>
    <t>Barbero8</t>
  </si>
  <si>
    <t>BARBERIA</t>
  </si>
  <si>
    <t>Comisión Barberos(%)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</si>
</sst>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u/>
      <sz val="12"/>
      <color theme="1"/>
      <name val="Arial"/>
      <family val="2"/>
    </font>
    <font>
      <b/>
      <sz val="13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2" fillId="0" borderId="0" xfId="0" applyFont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8" borderId="5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164" fontId="2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0" fontId="1" fillId="8" borderId="1" xfId="0" applyFont="1" applyFill="1" applyBorder="1" applyAlignment="1">
      <alignment horizontal="center" vertical="center"/>
    </xf>
    <xf numFmtId="20" fontId="2" fillId="3" borderId="1" xfId="0" applyNumberFormat="1" applyFont="1" applyFill="1" applyBorder="1"/>
    <xf numFmtId="164" fontId="2" fillId="9" borderId="1" xfId="0" applyNumberFormat="1" applyFont="1" applyFill="1" applyBorder="1"/>
    <xf numFmtId="0" fontId="2" fillId="9" borderId="1" xfId="0" applyFont="1" applyFill="1" applyBorder="1"/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16" fontId="2" fillId="8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164" fontId="5" fillId="8" borderId="4" xfId="0" applyNumberFormat="1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34"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ont>
        <b/>
        <i val="0"/>
        <u/>
      </font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  <dxf>
      <font>
        <b/>
        <i val="0"/>
        <u/>
      </font>
    </dxf>
  </dxfs>
  <tableStyles count="0" defaultTableStyle="TableStyleMedium2" defaultPivotStyle="PivotStyleLight16"/>
  <colors>
    <mruColors>
      <color rgb="FFB7E352"/>
      <color rgb="FFE3BB52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BDA5-212E-4FEE-AF16-2002A17AC1B9}">
  <sheetPr codeName="Sheet1"/>
  <dimension ref="A1:AJ40"/>
  <sheetViews>
    <sheetView zoomScale="68" zoomScaleNormal="68" workbookViewId="0">
      <selection activeCell="B3" sqref="B3"/>
    </sheetView>
  </sheetViews>
  <sheetFormatPr baseColWidth="10" defaultColWidth="9.21875" defaultRowHeight="15" x14ac:dyDescent="0.25"/>
  <cols>
    <col min="1" max="1" width="7.21875" style="1" customWidth="1"/>
    <col min="2" max="2" width="10.6640625" style="1" customWidth="1"/>
    <col min="3" max="3" width="8.5546875" style="1" customWidth="1"/>
    <col min="4" max="4" width="4.77734375" style="1" customWidth="1"/>
    <col min="5" max="5" width="7.21875" style="1" customWidth="1"/>
    <col min="6" max="6" width="10.6640625" style="1" customWidth="1"/>
    <col min="7" max="7" width="8.5546875" style="1" customWidth="1"/>
    <col min="8" max="8" width="4.6640625" style="1" customWidth="1"/>
    <col min="9" max="9" width="7.21875" style="1" customWidth="1"/>
    <col min="10" max="10" width="10.6640625" style="1" customWidth="1"/>
    <col min="11" max="11" width="8.5546875" style="1" customWidth="1"/>
    <col min="12" max="12" width="6.6640625" style="1" customWidth="1"/>
    <col min="13" max="13" width="7.21875" style="1" customWidth="1"/>
    <col min="14" max="14" width="10.6640625" style="1" customWidth="1"/>
    <col min="15" max="15" width="8.5546875" style="1" customWidth="1"/>
    <col min="16" max="16" width="4.6640625" style="1" customWidth="1"/>
    <col min="17" max="17" width="7.21875" style="1" customWidth="1"/>
    <col min="18" max="18" width="10.6640625" style="1" customWidth="1"/>
    <col min="19" max="19" width="8.5546875" style="1" customWidth="1"/>
    <col min="20" max="20" width="4.6640625" style="1" customWidth="1"/>
    <col min="21" max="21" width="7.21875" style="1" customWidth="1"/>
    <col min="22" max="22" width="10.6640625" style="1" customWidth="1"/>
    <col min="23" max="23" width="8.5546875" style="1" customWidth="1"/>
    <col min="24" max="24" width="4.6640625" style="1" customWidth="1"/>
    <col min="25" max="25" width="7.21875" style="1" customWidth="1"/>
    <col min="26" max="26" width="10.6640625" style="1" customWidth="1"/>
    <col min="27" max="27" width="8.5546875" style="1" customWidth="1"/>
    <col min="28" max="28" width="4.6640625" style="1" customWidth="1"/>
    <col min="29" max="29" width="7.21875" style="1" customWidth="1"/>
    <col min="30" max="30" width="10.6640625" style="1" customWidth="1"/>
    <col min="31" max="31" width="8.5546875" style="1" customWidth="1"/>
    <col min="32" max="32" width="4.5546875" style="1" customWidth="1"/>
    <col min="33" max="33" width="7.21875" style="1" customWidth="1"/>
    <col min="34" max="34" width="14.77734375" style="1" customWidth="1"/>
    <col min="35" max="35" width="5.5546875" style="1" customWidth="1"/>
    <col min="36" max="36" width="4.77734375" style="1" customWidth="1"/>
    <col min="37" max="16384" width="9.21875" style="1"/>
  </cols>
  <sheetData>
    <row r="1" spans="1:36" ht="30.75" customHeight="1" x14ac:dyDescent="0.25">
      <c r="A1" s="12"/>
      <c r="B1" s="12" t="s">
        <v>25</v>
      </c>
      <c r="C1" s="13"/>
      <c r="D1" s="40" t="s">
        <v>3</v>
      </c>
      <c r="E1" s="41"/>
      <c r="F1" s="26"/>
      <c r="G1" s="35" t="s">
        <v>15</v>
      </c>
      <c r="H1" s="35"/>
      <c r="I1" s="36"/>
      <c r="J1" s="37"/>
      <c r="K1" s="38" t="s">
        <v>26</v>
      </c>
      <c r="L1" s="39"/>
      <c r="M1" s="20">
        <v>50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36" s="11" customFormat="1" ht="30" customHeight="1" x14ac:dyDescent="0.3">
      <c r="A2" s="10" t="s">
        <v>12</v>
      </c>
      <c r="B2" s="10" t="s">
        <v>0</v>
      </c>
      <c r="C2" s="10" t="s">
        <v>1</v>
      </c>
      <c r="D2" s="10" t="s">
        <v>2</v>
      </c>
      <c r="E2" s="10" t="s">
        <v>12</v>
      </c>
      <c r="F2" s="10" t="s">
        <v>0</v>
      </c>
      <c r="G2" s="10" t="s">
        <v>1</v>
      </c>
      <c r="H2" s="10" t="s">
        <v>2</v>
      </c>
      <c r="I2" s="10" t="s">
        <v>12</v>
      </c>
      <c r="J2" s="10" t="s">
        <v>0</v>
      </c>
      <c r="K2" s="10" t="s">
        <v>1</v>
      </c>
      <c r="L2" s="10" t="s">
        <v>2</v>
      </c>
      <c r="M2" s="10" t="s">
        <v>12</v>
      </c>
      <c r="N2" s="10" t="s">
        <v>0</v>
      </c>
      <c r="O2" s="10" t="s">
        <v>1</v>
      </c>
      <c r="P2" s="10" t="s">
        <v>2</v>
      </c>
      <c r="Q2" s="10" t="s">
        <v>12</v>
      </c>
      <c r="R2" s="10" t="s">
        <v>0</v>
      </c>
      <c r="S2" s="10" t="s">
        <v>1</v>
      </c>
      <c r="T2" s="10" t="s">
        <v>2</v>
      </c>
      <c r="U2" s="10" t="s">
        <v>12</v>
      </c>
      <c r="V2" s="10" t="s">
        <v>0</v>
      </c>
      <c r="W2" s="10" t="s">
        <v>1</v>
      </c>
      <c r="X2" s="10" t="s">
        <v>2</v>
      </c>
      <c r="Y2" s="10" t="s">
        <v>12</v>
      </c>
      <c r="Z2" s="10" t="s">
        <v>0</v>
      </c>
      <c r="AA2" s="10" t="s">
        <v>1</v>
      </c>
      <c r="AB2" s="10" t="s">
        <v>2</v>
      </c>
      <c r="AC2" s="10" t="s">
        <v>12</v>
      </c>
      <c r="AD2" s="10" t="s">
        <v>0</v>
      </c>
      <c r="AE2" s="10" t="s">
        <v>1</v>
      </c>
      <c r="AF2" s="10" t="s">
        <v>2</v>
      </c>
      <c r="AG2" s="10" t="s">
        <v>12</v>
      </c>
      <c r="AH2" s="10" t="s">
        <v>0</v>
      </c>
      <c r="AI2" s="10" t="s">
        <v>1</v>
      </c>
      <c r="AJ2" s="10" t="s">
        <v>2</v>
      </c>
    </row>
    <row r="3" spans="1:36" x14ac:dyDescent="0.25">
      <c r="A3" s="9"/>
      <c r="B3" s="6" t="s">
        <v>17</v>
      </c>
      <c r="C3" s="9"/>
      <c r="D3" s="9"/>
      <c r="E3" s="9"/>
      <c r="F3" s="6" t="s">
        <v>18</v>
      </c>
      <c r="G3" s="9"/>
      <c r="H3" s="9"/>
      <c r="I3" s="9"/>
      <c r="J3" s="6" t="s">
        <v>19</v>
      </c>
      <c r="K3" s="9"/>
      <c r="L3" s="9"/>
      <c r="M3" s="9"/>
      <c r="N3" s="6" t="s">
        <v>20</v>
      </c>
      <c r="O3" s="9"/>
      <c r="P3" s="9"/>
      <c r="Q3" s="9"/>
      <c r="R3" s="6" t="s">
        <v>21</v>
      </c>
      <c r="S3" s="9"/>
      <c r="T3" s="9"/>
      <c r="U3" s="9"/>
      <c r="V3" s="6" t="s">
        <v>22</v>
      </c>
      <c r="W3" s="9"/>
      <c r="X3" s="9"/>
      <c r="Y3" s="9"/>
      <c r="Z3" s="6" t="s">
        <v>23</v>
      </c>
      <c r="AA3" s="9"/>
      <c r="AB3" s="9"/>
      <c r="AC3" s="9"/>
      <c r="AD3" s="6" t="s">
        <v>24</v>
      </c>
      <c r="AE3" s="9"/>
      <c r="AF3" s="9"/>
      <c r="AG3" s="9"/>
      <c r="AH3" s="6" t="s">
        <v>11</v>
      </c>
      <c r="AI3" s="9"/>
      <c r="AJ3" s="9"/>
    </row>
    <row r="4" spans="1:36" x14ac:dyDescent="0.25">
      <c r="A4" s="21"/>
      <c r="B4" s="22"/>
      <c r="C4" s="17"/>
      <c r="D4" s="23"/>
      <c r="E4" s="3"/>
      <c r="F4" s="22"/>
      <c r="G4" s="17"/>
      <c r="H4" s="23"/>
      <c r="I4" s="3"/>
      <c r="J4" s="22"/>
      <c r="K4" s="17"/>
      <c r="L4" s="23"/>
      <c r="M4" s="3"/>
      <c r="N4" s="22"/>
      <c r="O4" s="17"/>
      <c r="P4" s="23"/>
      <c r="Q4" s="3"/>
      <c r="R4" s="22"/>
      <c r="S4" s="17"/>
      <c r="T4" s="23"/>
      <c r="U4" s="3"/>
      <c r="V4" s="22"/>
      <c r="W4" s="17"/>
      <c r="X4" s="23"/>
      <c r="Y4" s="3"/>
      <c r="Z4" s="22"/>
      <c r="AA4" s="17"/>
      <c r="AB4" s="23"/>
      <c r="AC4" s="3"/>
      <c r="AD4" s="22"/>
      <c r="AE4" s="17"/>
      <c r="AF4" s="23"/>
      <c r="AG4" s="3"/>
      <c r="AH4" s="17"/>
      <c r="AI4" s="17"/>
      <c r="AJ4" s="3"/>
    </row>
    <row r="5" spans="1:36" x14ac:dyDescent="0.25">
      <c r="A5" s="3"/>
      <c r="B5" s="22"/>
      <c r="C5" s="17"/>
      <c r="D5" s="23"/>
      <c r="E5" s="3"/>
      <c r="F5" s="22"/>
      <c r="G5" s="17"/>
      <c r="H5" s="23"/>
      <c r="I5" s="3"/>
      <c r="J5" s="22"/>
      <c r="K5" s="17"/>
      <c r="L5" s="23"/>
      <c r="M5" s="3"/>
      <c r="N5" s="22"/>
      <c r="O5" s="17"/>
      <c r="P5" s="23"/>
      <c r="Q5" s="3"/>
      <c r="R5" s="22"/>
      <c r="S5" s="17"/>
      <c r="T5" s="23"/>
      <c r="U5" s="3"/>
      <c r="V5" s="22"/>
      <c r="W5" s="17"/>
      <c r="X5" s="23"/>
      <c r="Y5" s="3"/>
      <c r="Z5" s="22"/>
      <c r="AA5" s="17"/>
      <c r="AB5" s="23"/>
      <c r="AC5" s="3"/>
      <c r="AD5" s="22"/>
      <c r="AE5" s="17"/>
      <c r="AF5" s="23"/>
      <c r="AG5" s="3"/>
      <c r="AH5" s="17"/>
      <c r="AI5" s="17"/>
      <c r="AJ5" s="3"/>
    </row>
    <row r="6" spans="1:36" x14ac:dyDescent="0.25">
      <c r="A6" s="3"/>
      <c r="B6" s="22"/>
      <c r="C6" s="17"/>
      <c r="D6" s="23"/>
      <c r="E6" s="3"/>
      <c r="F6" s="22"/>
      <c r="G6" s="17"/>
      <c r="H6" s="23"/>
      <c r="I6" s="3"/>
      <c r="J6" s="22"/>
      <c r="K6" s="17"/>
      <c r="L6" s="23"/>
      <c r="M6" s="3"/>
      <c r="N6" s="22"/>
      <c r="O6" s="17"/>
      <c r="P6" s="23"/>
      <c r="Q6" s="3"/>
      <c r="R6" s="22"/>
      <c r="S6" s="17"/>
      <c r="T6" s="23"/>
      <c r="U6" s="3"/>
      <c r="V6" s="22"/>
      <c r="W6" s="17"/>
      <c r="X6" s="23"/>
      <c r="Y6" s="3"/>
      <c r="Z6" s="22"/>
      <c r="AA6" s="17"/>
      <c r="AB6" s="23"/>
      <c r="AC6" s="3"/>
      <c r="AD6" s="22"/>
      <c r="AE6" s="17"/>
      <c r="AF6" s="23"/>
      <c r="AG6" s="3"/>
      <c r="AH6" s="17"/>
      <c r="AI6" s="17"/>
      <c r="AJ6" s="3"/>
    </row>
    <row r="7" spans="1:36" x14ac:dyDescent="0.25">
      <c r="A7" s="3"/>
      <c r="B7" s="22"/>
      <c r="C7" s="17"/>
      <c r="D7" s="23"/>
      <c r="E7" s="3"/>
      <c r="F7" s="22"/>
      <c r="G7" s="17"/>
      <c r="H7" s="23"/>
      <c r="I7" s="3"/>
      <c r="J7" s="22"/>
      <c r="K7" s="17"/>
      <c r="L7" s="23"/>
      <c r="M7" s="3"/>
      <c r="N7" s="22"/>
      <c r="O7" s="17"/>
      <c r="P7" s="23"/>
      <c r="Q7" s="3"/>
      <c r="R7" s="22"/>
      <c r="S7" s="17"/>
      <c r="T7" s="23"/>
      <c r="U7" s="3"/>
      <c r="V7" s="22"/>
      <c r="W7" s="17"/>
      <c r="X7" s="23"/>
      <c r="Y7" s="3"/>
      <c r="Z7" s="22"/>
      <c r="AA7" s="17"/>
      <c r="AB7" s="23"/>
      <c r="AC7" s="3"/>
      <c r="AD7" s="22"/>
      <c r="AE7" s="17"/>
      <c r="AF7" s="23"/>
      <c r="AG7" s="3"/>
      <c r="AH7" s="17"/>
      <c r="AI7" s="17"/>
      <c r="AJ7" s="3"/>
    </row>
    <row r="8" spans="1:36" x14ac:dyDescent="0.25">
      <c r="A8" s="3"/>
      <c r="B8" s="22"/>
      <c r="C8" s="17"/>
      <c r="D8" s="23"/>
      <c r="E8" s="3"/>
      <c r="F8" s="22"/>
      <c r="G8" s="17"/>
      <c r="H8" s="23"/>
      <c r="I8" s="3"/>
      <c r="J8" s="22"/>
      <c r="K8" s="17"/>
      <c r="L8" s="23"/>
      <c r="M8" s="3"/>
      <c r="N8" s="22"/>
      <c r="O8" s="17"/>
      <c r="P8" s="23"/>
      <c r="Q8" s="3"/>
      <c r="R8" s="22"/>
      <c r="S8" s="17"/>
      <c r="T8" s="23"/>
      <c r="U8" s="3"/>
      <c r="V8" s="22"/>
      <c r="W8" s="17"/>
      <c r="X8" s="23"/>
      <c r="Y8" s="3"/>
      <c r="Z8" s="22"/>
      <c r="AA8" s="17"/>
      <c r="AB8" s="23"/>
      <c r="AC8" s="3"/>
      <c r="AD8" s="22"/>
      <c r="AE8" s="17"/>
      <c r="AF8" s="23"/>
      <c r="AG8" s="3"/>
      <c r="AH8" s="17"/>
      <c r="AI8" s="17"/>
      <c r="AJ8" s="3"/>
    </row>
    <row r="9" spans="1:36" x14ac:dyDescent="0.25">
      <c r="A9" s="3"/>
      <c r="B9" s="22"/>
      <c r="C9" s="17"/>
      <c r="D9" s="23"/>
      <c r="E9" s="3"/>
      <c r="F9" s="22"/>
      <c r="G9" s="17"/>
      <c r="H9" s="23"/>
      <c r="I9" s="3"/>
      <c r="J9" s="22"/>
      <c r="K9" s="17"/>
      <c r="L9" s="23"/>
      <c r="M9" s="3"/>
      <c r="N9" s="22"/>
      <c r="O9" s="17"/>
      <c r="P9" s="23"/>
      <c r="Q9" s="3"/>
      <c r="R9" s="22"/>
      <c r="S9" s="17"/>
      <c r="T9" s="23"/>
      <c r="U9" s="3"/>
      <c r="V9" s="22"/>
      <c r="W9" s="17"/>
      <c r="X9" s="23"/>
      <c r="Y9" s="3"/>
      <c r="Z9" s="22"/>
      <c r="AA9" s="17"/>
      <c r="AB9" s="23"/>
      <c r="AC9" s="3"/>
      <c r="AD9" s="22"/>
      <c r="AE9" s="17"/>
      <c r="AF9" s="23"/>
      <c r="AG9" s="3"/>
      <c r="AH9" s="17"/>
      <c r="AI9" s="17"/>
      <c r="AJ9" s="3"/>
    </row>
    <row r="10" spans="1:36" x14ac:dyDescent="0.25">
      <c r="A10" s="3"/>
      <c r="B10" s="22"/>
      <c r="C10" s="17"/>
      <c r="D10" s="23"/>
      <c r="E10" s="3"/>
      <c r="F10" s="22"/>
      <c r="G10" s="17"/>
      <c r="H10" s="23"/>
      <c r="I10" s="3"/>
      <c r="J10" s="22"/>
      <c r="K10" s="17"/>
      <c r="L10" s="23"/>
      <c r="M10" s="3"/>
      <c r="N10" s="22"/>
      <c r="O10" s="17"/>
      <c r="P10" s="23"/>
      <c r="Q10" s="3"/>
      <c r="R10" s="22"/>
      <c r="S10" s="17"/>
      <c r="T10" s="23"/>
      <c r="U10" s="3"/>
      <c r="V10" s="22"/>
      <c r="W10" s="17"/>
      <c r="X10" s="23"/>
      <c r="Y10" s="3"/>
      <c r="Z10" s="22"/>
      <c r="AA10" s="17"/>
      <c r="AB10" s="23"/>
      <c r="AC10" s="3"/>
      <c r="AD10" s="22"/>
      <c r="AE10" s="17"/>
      <c r="AF10" s="23"/>
      <c r="AG10" s="3"/>
      <c r="AH10" s="17"/>
      <c r="AI10" s="17"/>
      <c r="AJ10" s="3"/>
    </row>
    <row r="11" spans="1:36" x14ac:dyDescent="0.25">
      <c r="A11" s="3"/>
      <c r="B11" s="22"/>
      <c r="C11" s="17"/>
      <c r="D11" s="23"/>
      <c r="E11" s="3"/>
      <c r="F11" s="22"/>
      <c r="G11" s="17"/>
      <c r="H11" s="23"/>
      <c r="I11" s="3"/>
      <c r="J11" s="22"/>
      <c r="K11" s="17"/>
      <c r="L11" s="23"/>
      <c r="M11" s="3"/>
      <c r="N11" s="22"/>
      <c r="O11" s="17"/>
      <c r="P11" s="23"/>
      <c r="Q11" s="3"/>
      <c r="R11" s="22"/>
      <c r="S11" s="17"/>
      <c r="T11" s="23"/>
      <c r="U11" s="3"/>
      <c r="V11" s="22"/>
      <c r="W11" s="17"/>
      <c r="X11" s="23"/>
      <c r="Y11" s="3"/>
      <c r="Z11" s="22"/>
      <c r="AA11" s="17"/>
      <c r="AB11" s="23"/>
      <c r="AC11" s="3"/>
      <c r="AD11" s="22"/>
      <c r="AE11" s="17"/>
      <c r="AF11" s="23"/>
      <c r="AG11" s="3"/>
      <c r="AH11" s="17"/>
      <c r="AI11" s="17"/>
      <c r="AJ11" s="3"/>
    </row>
    <row r="12" spans="1:36" x14ac:dyDescent="0.25">
      <c r="A12" s="3"/>
      <c r="B12" s="22"/>
      <c r="C12" s="17"/>
      <c r="D12" s="23"/>
      <c r="E12" s="3"/>
      <c r="F12" s="22"/>
      <c r="G12" s="17"/>
      <c r="H12" s="23"/>
      <c r="I12" s="3"/>
      <c r="J12" s="22"/>
      <c r="K12" s="17"/>
      <c r="L12" s="23"/>
      <c r="M12" s="3"/>
      <c r="N12" s="22"/>
      <c r="O12" s="17"/>
      <c r="P12" s="23"/>
      <c r="Q12" s="3"/>
      <c r="R12" s="22"/>
      <c r="S12" s="17"/>
      <c r="T12" s="23"/>
      <c r="U12" s="3"/>
      <c r="V12" s="22"/>
      <c r="W12" s="17"/>
      <c r="X12" s="23"/>
      <c r="Y12" s="3"/>
      <c r="Z12" s="22"/>
      <c r="AA12" s="17"/>
      <c r="AB12" s="23"/>
      <c r="AC12" s="3"/>
      <c r="AD12" s="22"/>
      <c r="AE12" s="17"/>
      <c r="AF12" s="23"/>
      <c r="AG12" s="3"/>
      <c r="AH12" s="17"/>
      <c r="AI12" s="17"/>
      <c r="AJ12" s="3"/>
    </row>
    <row r="13" spans="1:36" x14ac:dyDescent="0.25">
      <c r="A13" s="3"/>
      <c r="B13" s="22"/>
      <c r="C13" s="17"/>
      <c r="D13" s="23"/>
      <c r="E13" s="3"/>
      <c r="F13" s="22"/>
      <c r="G13" s="17"/>
      <c r="H13" s="23"/>
      <c r="I13" s="3"/>
      <c r="J13" s="22"/>
      <c r="K13" s="17"/>
      <c r="L13" s="23"/>
      <c r="M13" s="3"/>
      <c r="N13" s="22"/>
      <c r="O13" s="17"/>
      <c r="P13" s="23"/>
      <c r="Q13" s="3"/>
      <c r="R13" s="22"/>
      <c r="S13" s="17"/>
      <c r="T13" s="23"/>
      <c r="U13" s="3"/>
      <c r="V13" s="22"/>
      <c r="W13" s="17"/>
      <c r="X13" s="23"/>
      <c r="Y13" s="3"/>
      <c r="Z13" s="22"/>
      <c r="AA13" s="17"/>
      <c r="AB13" s="23"/>
      <c r="AC13" s="3"/>
      <c r="AD13" s="22"/>
      <c r="AE13" s="17"/>
      <c r="AF13" s="23"/>
      <c r="AG13" s="3"/>
      <c r="AH13" s="17"/>
      <c r="AI13" s="17"/>
      <c r="AJ13" s="3"/>
    </row>
    <row r="14" spans="1:36" x14ac:dyDescent="0.25">
      <c r="A14" s="3"/>
      <c r="B14" s="22"/>
      <c r="C14" s="17"/>
      <c r="D14" s="23"/>
      <c r="E14" s="3"/>
      <c r="F14" s="22"/>
      <c r="G14" s="17"/>
      <c r="H14" s="23"/>
      <c r="I14" s="3"/>
      <c r="J14" s="22"/>
      <c r="K14" s="17"/>
      <c r="L14" s="23"/>
      <c r="M14" s="3"/>
      <c r="N14" s="22"/>
      <c r="O14" s="17"/>
      <c r="P14" s="23"/>
      <c r="Q14" s="3"/>
      <c r="R14" s="22"/>
      <c r="S14" s="17"/>
      <c r="T14" s="23"/>
      <c r="U14" s="3"/>
      <c r="V14" s="22"/>
      <c r="W14" s="17"/>
      <c r="X14" s="23"/>
      <c r="Y14" s="3"/>
      <c r="Z14" s="22"/>
      <c r="AA14" s="17"/>
      <c r="AB14" s="23"/>
      <c r="AC14" s="3"/>
      <c r="AD14" s="22"/>
      <c r="AE14" s="17"/>
      <c r="AF14" s="23"/>
      <c r="AG14" s="3"/>
      <c r="AH14" s="17"/>
      <c r="AI14" s="17"/>
      <c r="AJ14" s="3"/>
    </row>
    <row r="15" spans="1:36" x14ac:dyDescent="0.25">
      <c r="A15" s="3"/>
      <c r="B15" s="22"/>
      <c r="C15" s="17"/>
      <c r="D15" s="23"/>
      <c r="E15" s="3"/>
      <c r="F15" s="22"/>
      <c r="G15" s="17"/>
      <c r="H15" s="23"/>
      <c r="I15" s="3"/>
      <c r="J15" s="22"/>
      <c r="K15" s="17"/>
      <c r="L15" s="23"/>
      <c r="M15" s="3"/>
      <c r="N15" s="22"/>
      <c r="O15" s="17"/>
      <c r="P15" s="23"/>
      <c r="Q15" s="3"/>
      <c r="R15" s="22"/>
      <c r="S15" s="17"/>
      <c r="T15" s="23"/>
      <c r="U15" s="3"/>
      <c r="V15" s="22"/>
      <c r="W15" s="17"/>
      <c r="X15" s="23"/>
      <c r="Y15" s="3"/>
      <c r="Z15" s="22"/>
      <c r="AA15" s="17"/>
      <c r="AB15" s="23"/>
      <c r="AC15" s="3"/>
      <c r="AD15" s="22"/>
      <c r="AE15" s="17"/>
      <c r="AF15" s="23"/>
      <c r="AG15" s="3"/>
      <c r="AH15" s="17"/>
      <c r="AI15" s="17"/>
      <c r="AJ15" s="3"/>
    </row>
    <row r="16" spans="1:36" x14ac:dyDescent="0.25">
      <c r="A16" s="3"/>
      <c r="B16" s="22"/>
      <c r="C16" s="17"/>
      <c r="D16" s="23"/>
      <c r="E16" s="3"/>
      <c r="F16" s="22"/>
      <c r="G16" s="17"/>
      <c r="H16" s="23"/>
      <c r="I16" s="3"/>
      <c r="J16" s="22"/>
      <c r="K16" s="17"/>
      <c r="L16" s="23"/>
      <c r="M16" s="3"/>
      <c r="N16" s="22"/>
      <c r="O16" s="17"/>
      <c r="P16" s="23"/>
      <c r="Q16" s="3"/>
      <c r="R16" s="22"/>
      <c r="S16" s="17"/>
      <c r="T16" s="23"/>
      <c r="U16" s="3"/>
      <c r="V16" s="22"/>
      <c r="W16" s="17"/>
      <c r="X16" s="23"/>
      <c r="Y16" s="3"/>
      <c r="Z16" s="22"/>
      <c r="AA16" s="17"/>
      <c r="AB16" s="23"/>
      <c r="AC16" s="3"/>
      <c r="AD16" s="22"/>
      <c r="AE16" s="17"/>
      <c r="AF16" s="23"/>
      <c r="AG16" s="3"/>
      <c r="AH16" s="17"/>
      <c r="AI16" s="17"/>
      <c r="AJ16" s="3"/>
    </row>
    <row r="17" spans="1:36" x14ac:dyDescent="0.25">
      <c r="A17" s="3"/>
      <c r="B17" s="22"/>
      <c r="C17" s="17"/>
      <c r="D17" s="23"/>
      <c r="E17" s="3"/>
      <c r="F17" s="22"/>
      <c r="G17" s="17"/>
      <c r="H17" s="23"/>
      <c r="I17" s="3"/>
      <c r="J17" s="22"/>
      <c r="K17" s="17"/>
      <c r="L17" s="23"/>
      <c r="M17" s="3"/>
      <c r="N17" s="22"/>
      <c r="O17" s="17"/>
      <c r="P17" s="23"/>
      <c r="Q17" s="3"/>
      <c r="R17" s="22"/>
      <c r="S17" s="17"/>
      <c r="T17" s="23"/>
      <c r="U17" s="3"/>
      <c r="V17" s="22"/>
      <c r="W17" s="17"/>
      <c r="X17" s="23"/>
      <c r="Y17" s="3"/>
      <c r="Z17" s="22"/>
      <c r="AA17" s="17"/>
      <c r="AB17" s="23"/>
      <c r="AC17" s="3"/>
      <c r="AD17" s="22"/>
      <c r="AE17" s="17"/>
      <c r="AF17" s="23"/>
      <c r="AG17" s="3"/>
      <c r="AH17" s="17"/>
      <c r="AI17" s="17"/>
      <c r="AJ17" s="3"/>
    </row>
    <row r="18" spans="1:36" x14ac:dyDescent="0.25">
      <c r="A18" s="3"/>
      <c r="B18" s="22"/>
      <c r="C18" s="17"/>
      <c r="D18" s="23"/>
      <c r="E18" s="3"/>
      <c r="F18" s="22"/>
      <c r="G18" s="17"/>
      <c r="H18" s="23"/>
      <c r="I18" s="3"/>
      <c r="J18" s="22"/>
      <c r="K18" s="17"/>
      <c r="L18" s="23"/>
      <c r="M18" s="3"/>
      <c r="N18" s="22"/>
      <c r="O18" s="17"/>
      <c r="P18" s="23"/>
      <c r="Q18" s="3"/>
      <c r="R18" s="22"/>
      <c r="S18" s="17"/>
      <c r="T18" s="23"/>
      <c r="U18" s="3"/>
      <c r="V18" s="22"/>
      <c r="W18" s="17"/>
      <c r="X18" s="23"/>
      <c r="Y18" s="3"/>
      <c r="Z18" s="22"/>
      <c r="AA18" s="17"/>
      <c r="AB18" s="23"/>
      <c r="AC18" s="3"/>
      <c r="AD18" s="22"/>
      <c r="AE18" s="17"/>
      <c r="AF18" s="23"/>
      <c r="AG18" s="3"/>
      <c r="AH18" s="17"/>
      <c r="AI18" s="17"/>
      <c r="AJ18" s="3"/>
    </row>
    <row r="19" spans="1:36" x14ac:dyDescent="0.25">
      <c r="A19" s="3"/>
      <c r="B19" s="22"/>
      <c r="C19" s="17"/>
      <c r="D19" s="23"/>
      <c r="E19" s="3"/>
      <c r="F19" s="22"/>
      <c r="G19" s="17"/>
      <c r="H19" s="23"/>
      <c r="I19" s="3"/>
      <c r="J19" s="22"/>
      <c r="K19" s="17"/>
      <c r="L19" s="23"/>
      <c r="M19" s="3"/>
      <c r="N19" s="22"/>
      <c r="O19" s="17"/>
      <c r="P19" s="23"/>
      <c r="Q19" s="3"/>
      <c r="R19" s="22"/>
      <c r="S19" s="17"/>
      <c r="T19" s="23"/>
      <c r="U19" s="3"/>
      <c r="V19" s="22"/>
      <c r="W19" s="17"/>
      <c r="X19" s="23"/>
      <c r="Y19" s="3"/>
      <c r="Z19" s="22"/>
      <c r="AA19" s="17"/>
      <c r="AB19" s="23"/>
      <c r="AC19" s="3"/>
      <c r="AD19" s="22"/>
      <c r="AE19" s="17"/>
      <c r="AF19" s="23"/>
      <c r="AG19" s="3"/>
      <c r="AH19" s="17"/>
      <c r="AI19" s="17"/>
      <c r="AJ19" s="3"/>
    </row>
    <row r="20" spans="1:36" x14ac:dyDescent="0.25">
      <c r="A20" s="3"/>
      <c r="B20" s="22"/>
      <c r="C20" s="17"/>
      <c r="D20" s="23"/>
      <c r="E20" s="3"/>
      <c r="F20" s="22"/>
      <c r="G20" s="17"/>
      <c r="H20" s="23"/>
      <c r="I20" s="3"/>
      <c r="J20" s="22"/>
      <c r="K20" s="17"/>
      <c r="L20" s="23"/>
      <c r="M20" s="3"/>
      <c r="N20" s="22"/>
      <c r="O20" s="17"/>
      <c r="P20" s="23"/>
      <c r="Q20" s="3"/>
      <c r="R20" s="22"/>
      <c r="S20" s="17"/>
      <c r="T20" s="23"/>
      <c r="U20" s="3"/>
      <c r="V20" s="22"/>
      <c r="W20" s="17"/>
      <c r="X20" s="23"/>
      <c r="Y20" s="3"/>
      <c r="Z20" s="22"/>
      <c r="AA20" s="17"/>
      <c r="AB20" s="23"/>
      <c r="AC20" s="3"/>
      <c r="AD20" s="22"/>
      <c r="AE20" s="17"/>
      <c r="AF20" s="23"/>
      <c r="AG20" s="3"/>
      <c r="AH20" s="17"/>
      <c r="AI20" s="17"/>
      <c r="AJ20" s="3"/>
    </row>
    <row r="21" spans="1:36" x14ac:dyDescent="0.25">
      <c r="A21" s="3"/>
      <c r="B21" s="22"/>
      <c r="C21" s="17"/>
      <c r="D21" s="23"/>
      <c r="E21" s="3"/>
      <c r="F21" s="22"/>
      <c r="G21" s="17"/>
      <c r="H21" s="23"/>
      <c r="I21" s="3"/>
      <c r="J21" s="22"/>
      <c r="K21" s="17"/>
      <c r="L21" s="23"/>
      <c r="M21" s="3"/>
      <c r="N21" s="22"/>
      <c r="O21" s="17"/>
      <c r="P21" s="23"/>
      <c r="Q21" s="3"/>
      <c r="R21" s="22"/>
      <c r="S21" s="17"/>
      <c r="T21" s="23"/>
      <c r="U21" s="3"/>
      <c r="V21" s="22"/>
      <c r="W21" s="17"/>
      <c r="X21" s="23"/>
      <c r="Y21" s="3"/>
      <c r="Z21" s="22"/>
      <c r="AA21" s="17"/>
      <c r="AB21" s="23"/>
      <c r="AC21" s="3"/>
      <c r="AD21" s="22"/>
      <c r="AE21" s="17"/>
      <c r="AF21" s="23"/>
      <c r="AG21" s="3"/>
      <c r="AH21" s="17"/>
      <c r="AI21" s="17"/>
      <c r="AJ21" s="3"/>
    </row>
    <row r="22" spans="1:36" x14ac:dyDescent="0.25">
      <c r="A22" s="3"/>
      <c r="B22" s="22"/>
      <c r="C22" s="17"/>
      <c r="D22" s="23"/>
      <c r="E22" s="3"/>
      <c r="F22" s="22"/>
      <c r="G22" s="17"/>
      <c r="H22" s="23"/>
      <c r="I22" s="3"/>
      <c r="J22" s="22"/>
      <c r="K22" s="17"/>
      <c r="L22" s="23"/>
      <c r="M22" s="3"/>
      <c r="N22" s="22"/>
      <c r="O22" s="17"/>
      <c r="P22" s="23"/>
      <c r="Q22" s="3"/>
      <c r="R22" s="22"/>
      <c r="S22" s="17"/>
      <c r="T22" s="23"/>
      <c r="U22" s="3"/>
      <c r="V22" s="22"/>
      <c r="W22" s="17"/>
      <c r="X22" s="23"/>
      <c r="Y22" s="3"/>
      <c r="Z22" s="22"/>
      <c r="AA22" s="17"/>
      <c r="AB22" s="23"/>
      <c r="AC22" s="3"/>
      <c r="AD22" s="22"/>
      <c r="AE22" s="17"/>
      <c r="AF22" s="23"/>
      <c r="AG22" s="3"/>
      <c r="AH22" s="17"/>
      <c r="AI22" s="17"/>
      <c r="AJ22" s="3"/>
    </row>
    <row r="23" spans="1:36" x14ac:dyDescent="0.25">
      <c r="A23" s="3"/>
      <c r="B23" s="22"/>
      <c r="C23" s="17"/>
      <c r="D23" s="23"/>
      <c r="E23" s="3"/>
      <c r="F23" s="22"/>
      <c r="G23" s="17"/>
      <c r="H23" s="23"/>
      <c r="I23" s="3"/>
      <c r="J23" s="22"/>
      <c r="K23" s="17"/>
      <c r="L23" s="23"/>
      <c r="M23" s="3"/>
      <c r="N23" s="22"/>
      <c r="O23" s="17"/>
      <c r="P23" s="23"/>
      <c r="Q23" s="3"/>
      <c r="R23" s="22"/>
      <c r="S23" s="17"/>
      <c r="T23" s="23"/>
      <c r="U23" s="3"/>
      <c r="V23" s="22"/>
      <c r="W23" s="17"/>
      <c r="X23" s="23"/>
      <c r="Y23" s="3"/>
      <c r="Z23" s="22"/>
      <c r="AA23" s="17"/>
      <c r="AB23" s="23"/>
      <c r="AC23" s="3"/>
      <c r="AD23" s="22"/>
      <c r="AE23" s="17"/>
      <c r="AF23" s="23"/>
      <c r="AG23" s="3"/>
      <c r="AH23" s="17"/>
      <c r="AI23" s="17"/>
      <c r="AJ23" s="3"/>
    </row>
    <row r="24" spans="1:36" x14ac:dyDescent="0.25">
      <c r="A24" s="3"/>
      <c r="B24" s="22"/>
      <c r="C24" s="17"/>
      <c r="D24" s="23"/>
      <c r="E24" s="3"/>
      <c r="F24" s="22"/>
      <c r="G24" s="17"/>
      <c r="H24" s="23"/>
      <c r="I24" s="3"/>
      <c r="J24" s="22"/>
      <c r="K24" s="17"/>
      <c r="L24" s="23"/>
      <c r="M24" s="3"/>
      <c r="N24" s="22"/>
      <c r="O24" s="17"/>
      <c r="P24" s="23"/>
      <c r="Q24" s="3"/>
      <c r="R24" s="22"/>
      <c r="S24" s="17"/>
      <c r="T24" s="23"/>
      <c r="U24" s="3"/>
      <c r="V24" s="22"/>
      <c r="W24" s="17"/>
      <c r="X24" s="23"/>
      <c r="Y24" s="3"/>
      <c r="Z24" s="22"/>
      <c r="AA24" s="17"/>
      <c r="AB24" s="23"/>
      <c r="AC24" s="3"/>
      <c r="AD24" s="22"/>
      <c r="AE24" s="17"/>
      <c r="AF24" s="23"/>
      <c r="AG24" s="3"/>
      <c r="AH24" s="17"/>
      <c r="AI24" s="17"/>
      <c r="AJ24" s="3"/>
    </row>
    <row r="25" spans="1:36" x14ac:dyDescent="0.25">
      <c r="A25" s="3"/>
      <c r="B25" s="22"/>
      <c r="C25" s="17"/>
      <c r="D25" s="23"/>
      <c r="E25" s="3"/>
      <c r="F25" s="22"/>
      <c r="G25" s="17"/>
      <c r="H25" s="23"/>
      <c r="I25" s="3"/>
      <c r="J25" s="22"/>
      <c r="K25" s="17"/>
      <c r="L25" s="23"/>
      <c r="M25" s="3"/>
      <c r="N25" s="22"/>
      <c r="O25" s="17"/>
      <c r="P25" s="23"/>
      <c r="Q25" s="3"/>
      <c r="R25" s="22"/>
      <c r="S25" s="17"/>
      <c r="T25" s="23"/>
      <c r="U25" s="3"/>
      <c r="V25" s="22"/>
      <c r="W25" s="17"/>
      <c r="X25" s="23"/>
      <c r="Y25" s="3"/>
      <c r="Z25" s="22"/>
      <c r="AA25" s="17"/>
      <c r="AB25" s="23"/>
      <c r="AC25" s="3"/>
      <c r="AD25" s="22"/>
      <c r="AE25" s="17"/>
      <c r="AF25" s="23"/>
      <c r="AG25" s="3"/>
      <c r="AH25" s="17"/>
      <c r="AI25" s="17"/>
      <c r="AJ25" s="3"/>
    </row>
    <row r="26" spans="1:36" x14ac:dyDescent="0.25">
      <c r="A26" s="3"/>
      <c r="B26" s="22"/>
      <c r="C26" s="17"/>
      <c r="D26" s="23"/>
      <c r="E26" s="3"/>
      <c r="F26" s="22"/>
      <c r="G26" s="17"/>
      <c r="H26" s="23"/>
      <c r="I26" s="3"/>
      <c r="J26" s="22"/>
      <c r="K26" s="17"/>
      <c r="L26" s="23"/>
      <c r="M26" s="3"/>
      <c r="N26" s="22"/>
      <c r="O26" s="17"/>
      <c r="P26" s="23"/>
      <c r="Q26" s="3"/>
      <c r="R26" s="22"/>
      <c r="S26" s="17"/>
      <c r="T26" s="23"/>
      <c r="U26" s="3"/>
      <c r="V26" s="22"/>
      <c r="W26" s="17"/>
      <c r="X26" s="23"/>
      <c r="Y26" s="3"/>
      <c r="Z26" s="22"/>
      <c r="AA26" s="17"/>
      <c r="AB26" s="23"/>
      <c r="AC26" s="3"/>
      <c r="AD26" s="22"/>
      <c r="AE26" s="17"/>
      <c r="AF26" s="23"/>
      <c r="AG26" s="3"/>
      <c r="AH26" s="17"/>
      <c r="AI26" s="17"/>
      <c r="AJ26" s="3"/>
    </row>
    <row r="27" spans="1:36" x14ac:dyDescent="0.25">
      <c r="A27" s="3"/>
      <c r="B27" s="22"/>
      <c r="C27" s="17"/>
      <c r="D27" s="23"/>
      <c r="E27" s="3"/>
      <c r="F27" s="22"/>
      <c r="G27" s="17"/>
      <c r="H27" s="23"/>
      <c r="I27" s="3"/>
      <c r="J27" s="22"/>
      <c r="K27" s="17"/>
      <c r="L27" s="23"/>
      <c r="M27" s="3"/>
      <c r="N27" s="22"/>
      <c r="O27" s="17"/>
      <c r="P27" s="23"/>
      <c r="Q27" s="3"/>
      <c r="R27" s="22"/>
      <c r="S27" s="17"/>
      <c r="T27" s="23"/>
      <c r="U27" s="3"/>
      <c r="V27" s="22"/>
      <c r="W27" s="17"/>
      <c r="X27" s="23"/>
      <c r="Y27" s="3"/>
      <c r="Z27" s="22"/>
      <c r="AA27" s="17"/>
      <c r="AB27" s="23"/>
      <c r="AC27" s="3"/>
      <c r="AD27" s="22"/>
      <c r="AE27" s="17"/>
      <c r="AF27" s="23"/>
      <c r="AG27" s="3"/>
      <c r="AH27" s="17"/>
      <c r="AI27" s="17"/>
      <c r="AJ27" s="3"/>
    </row>
    <row r="28" spans="1:36" x14ac:dyDescent="0.25">
      <c r="A28" s="3"/>
      <c r="B28" s="22"/>
      <c r="C28" s="17"/>
      <c r="D28" s="23"/>
      <c r="E28" s="3"/>
      <c r="F28" s="22"/>
      <c r="G28" s="17"/>
      <c r="H28" s="23"/>
      <c r="I28" s="3"/>
      <c r="J28" s="22"/>
      <c r="K28" s="17"/>
      <c r="L28" s="23"/>
      <c r="M28" s="3"/>
      <c r="N28" s="22"/>
      <c r="O28" s="17"/>
      <c r="P28" s="23"/>
      <c r="Q28" s="3"/>
      <c r="R28" s="22"/>
      <c r="S28" s="17"/>
      <c r="T28" s="23"/>
      <c r="U28" s="3"/>
      <c r="V28" s="22"/>
      <c r="W28" s="17"/>
      <c r="X28" s="23"/>
      <c r="Y28" s="3"/>
      <c r="Z28" s="22"/>
      <c r="AA28" s="17"/>
      <c r="AB28" s="23"/>
      <c r="AC28" s="3"/>
      <c r="AD28" s="22"/>
      <c r="AE28" s="17"/>
      <c r="AF28" s="23"/>
      <c r="AG28" s="3"/>
      <c r="AH28" s="17"/>
      <c r="AI28" s="17"/>
      <c r="AJ28" s="3"/>
    </row>
    <row r="29" spans="1:36" x14ac:dyDescent="0.25">
      <c r="A29" s="3"/>
      <c r="B29" s="22"/>
      <c r="C29" s="17"/>
      <c r="D29" s="23"/>
      <c r="E29" s="3"/>
      <c r="F29" s="22"/>
      <c r="G29" s="17"/>
      <c r="H29" s="23"/>
      <c r="I29" s="3"/>
      <c r="J29" s="22"/>
      <c r="K29" s="17"/>
      <c r="L29" s="23"/>
      <c r="M29" s="3"/>
      <c r="N29" s="22"/>
      <c r="O29" s="17"/>
      <c r="P29" s="23"/>
      <c r="Q29" s="3"/>
      <c r="R29" s="22"/>
      <c r="S29" s="17"/>
      <c r="T29" s="23"/>
      <c r="U29" s="3"/>
      <c r="V29" s="22"/>
      <c r="W29" s="17"/>
      <c r="X29" s="23"/>
      <c r="Y29" s="3"/>
      <c r="Z29" s="22"/>
      <c r="AA29" s="17"/>
      <c r="AB29" s="23"/>
      <c r="AC29" s="3"/>
      <c r="AD29" s="22"/>
      <c r="AE29" s="17"/>
      <c r="AF29" s="23"/>
      <c r="AG29" s="3"/>
      <c r="AH29" s="17"/>
      <c r="AI29" s="17"/>
      <c r="AJ29" s="3"/>
    </row>
    <row r="30" spans="1:36" x14ac:dyDescent="0.25">
      <c r="A30" s="3"/>
      <c r="B30" s="22"/>
      <c r="C30" s="17"/>
      <c r="D30" s="23"/>
      <c r="E30" s="3"/>
      <c r="F30" s="22"/>
      <c r="G30" s="17"/>
      <c r="H30" s="23"/>
      <c r="I30" s="3"/>
      <c r="J30" s="22"/>
      <c r="K30" s="17"/>
      <c r="L30" s="23"/>
      <c r="M30" s="3"/>
      <c r="N30" s="22"/>
      <c r="O30" s="17"/>
      <c r="P30" s="23"/>
      <c r="Q30" s="3"/>
      <c r="R30" s="22"/>
      <c r="S30" s="17"/>
      <c r="T30" s="23"/>
      <c r="U30" s="3"/>
      <c r="V30" s="22"/>
      <c r="W30" s="17"/>
      <c r="X30" s="23"/>
      <c r="Y30" s="3"/>
      <c r="Z30" s="22"/>
      <c r="AA30" s="17"/>
      <c r="AB30" s="23"/>
      <c r="AC30" s="3"/>
      <c r="AD30" s="22"/>
      <c r="AE30" s="17"/>
      <c r="AF30" s="23"/>
      <c r="AG30" s="3"/>
      <c r="AH30" s="17"/>
      <c r="AI30" s="17"/>
      <c r="AJ30" s="3"/>
    </row>
    <row r="31" spans="1:36" x14ac:dyDescent="0.25">
      <c r="A31" s="3"/>
      <c r="B31" s="22"/>
      <c r="C31" s="17"/>
      <c r="D31" s="23"/>
      <c r="E31" s="3"/>
      <c r="F31" s="22"/>
      <c r="G31" s="17"/>
      <c r="H31" s="23"/>
      <c r="I31" s="3"/>
      <c r="J31" s="22"/>
      <c r="K31" s="17"/>
      <c r="L31" s="23"/>
      <c r="M31" s="3"/>
      <c r="N31" s="22"/>
      <c r="O31" s="17"/>
      <c r="P31" s="23"/>
      <c r="Q31" s="3"/>
      <c r="R31" s="22"/>
      <c r="S31" s="17"/>
      <c r="T31" s="23"/>
      <c r="U31" s="3"/>
      <c r="V31" s="22"/>
      <c r="W31" s="17"/>
      <c r="X31" s="23"/>
      <c r="Y31" s="3"/>
      <c r="Z31" s="22"/>
      <c r="AA31" s="17"/>
      <c r="AB31" s="23"/>
      <c r="AC31" s="3"/>
      <c r="AD31" s="22"/>
      <c r="AE31" s="17"/>
      <c r="AF31" s="23"/>
      <c r="AG31" s="3"/>
      <c r="AH31" s="17"/>
      <c r="AI31" s="17"/>
      <c r="AJ31" s="3"/>
    </row>
    <row r="32" spans="1:36" x14ac:dyDescent="0.25">
      <c r="A32" s="3"/>
      <c r="B32" s="22"/>
      <c r="C32" s="17"/>
      <c r="D32" s="23"/>
      <c r="E32" s="3"/>
      <c r="F32" s="22"/>
      <c r="G32" s="17"/>
      <c r="H32" s="23"/>
      <c r="I32" s="3"/>
      <c r="J32" s="22"/>
      <c r="K32" s="17"/>
      <c r="L32" s="23"/>
      <c r="M32" s="3"/>
      <c r="N32" s="22"/>
      <c r="O32" s="17"/>
      <c r="P32" s="23"/>
      <c r="Q32" s="3"/>
      <c r="R32" s="22"/>
      <c r="S32" s="17"/>
      <c r="T32" s="23"/>
      <c r="U32" s="3"/>
      <c r="V32" s="22"/>
      <c r="W32" s="17"/>
      <c r="X32" s="23"/>
      <c r="Y32" s="3"/>
      <c r="Z32" s="22"/>
      <c r="AA32" s="17"/>
      <c r="AB32" s="23"/>
      <c r="AC32" s="3"/>
      <c r="AD32" s="22"/>
      <c r="AE32" s="17"/>
      <c r="AF32" s="23"/>
      <c r="AG32" s="3"/>
      <c r="AH32" s="17"/>
      <c r="AI32" s="17"/>
      <c r="AJ32" s="3"/>
    </row>
    <row r="33" spans="1:36" x14ac:dyDescent="0.25">
      <c r="A33" s="3"/>
      <c r="B33" s="22"/>
      <c r="C33" s="17"/>
      <c r="D33" s="23"/>
      <c r="E33" s="3"/>
      <c r="F33" s="22"/>
      <c r="G33" s="17"/>
      <c r="H33" s="23"/>
      <c r="I33" s="3"/>
      <c r="J33" s="22"/>
      <c r="K33" s="17"/>
      <c r="L33" s="23"/>
      <c r="M33" s="3"/>
      <c r="N33" s="22"/>
      <c r="O33" s="17"/>
      <c r="P33" s="23"/>
      <c r="Q33" s="3"/>
      <c r="R33" s="22"/>
      <c r="S33" s="17"/>
      <c r="T33" s="23"/>
      <c r="U33" s="3"/>
      <c r="V33" s="22"/>
      <c r="W33" s="17"/>
      <c r="X33" s="23"/>
      <c r="Y33" s="3"/>
      <c r="Z33" s="22"/>
      <c r="AA33" s="17"/>
      <c r="AB33" s="23"/>
      <c r="AC33" s="3"/>
      <c r="AD33" s="22"/>
      <c r="AE33" s="17"/>
      <c r="AF33" s="23"/>
      <c r="AG33" s="3"/>
      <c r="AH33" s="17"/>
      <c r="AI33" s="17"/>
      <c r="AJ33" s="3"/>
    </row>
    <row r="34" spans="1:36" x14ac:dyDescent="0.25">
      <c r="A34" s="3"/>
      <c r="B34" s="22"/>
      <c r="C34" s="17"/>
      <c r="D34" s="23"/>
      <c r="E34" s="3"/>
      <c r="F34" s="22"/>
      <c r="G34" s="17"/>
      <c r="H34" s="23"/>
      <c r="I34" s="3"/>
      <c r="J34" s="22"/>
      <c r="K34" s="17"/>
      <c r="L34" s="23"/>
      <c r="M34" s="3"/>
      <c r="N34" s="22"/>
      <c r="O34" s="17"/>
      <c r="P34" s="23"/>
      <c r="Q34" s="3"/>
      <c r="R34" s="22"/>
      <c r="S34" s="17"/>
      <c r="T34" s="23"/>
      <c r="U34" s="3"/>
      <c r="V34" s="22"/>
      <c r="W34" s="17"/>
      <c r="X34" s="23"/>
      <c r="Y34" s="3"/>
      <c r="Z34" s="22"/>
      <c r="AA34" s="17"/>
      <c r="AB34" s="23"/>
      <c r="AC34" s="3"/>
      <c r="AD34" s="22"/>
      <c r="AE34" s="17"/>
      <c r="AF34" s="23"/>
      <c r="AG34" s="3"/>
      <c r="AH34" s="17"/>
      <c r="AI34" s="17"/>
      <c r="AJ34" s="3"/>
    </row>
    <row r="35" spans="1:36" s="7" customFormat="1" ht="30" customHeight="1" x14ac:dyDescent="0.3">
      <c r="A35" s="33" t="str">
        <f>"Cantidad Cortes "&amp;B3&amp;": "&amp;COUNT(B4:B34)</f>
        <v>Cantidad Cortes Barbero1: 0</v>
      </c>
      <c r="B35" s="33"/>
      <c r="C35" s="33"/>
      <c r="D35" s="8"/>
      <c r="E35" s="33" t="str">
        <f>"Cantidad Cortes "&amp;F3&amp;": "&amp;COUNT(F4:F34)</f>
        <v>Cantidad Cortes Barbero2: 0</v>
      </c>
      <c r="F35" s="33"/>
      <c r="G35" s="33"/>
      <c r="H35" s="8"/>
      <c r="I35" s="33" t="str">
        <f>"Cantidad Cortes "&amp;J3&amp;": "&amp;COUNT(J4:J34)</f>
        <v>Cantidad Cortes Barbero3: 0</v>
      </c>
      <c r="J35" s="33"/>
      <c r="K35" s="33"/>
      <c r="L35" s="8"/>
      <c r="M35" s="33" t="str">
        <f>"Cantidad Cortes "&amp;N3&amp;": "&amp;COUNT(N4:N34)</f>
        <v>Cantidad Cortes Barbero4: 0</v>
      </c>
      <c r="N35" s="33"/>
      <c r="O35" s="33"/>
      <c r="P35" s="8"/>
      <c r="Q35" s="33" t="str">
        <f>"Cantidad Cortes "&amp;R3&amp;": "&amp;COUNT(R4:R34)</f>
        <v>Cantidad Cortes Barbero5: 0</v>
      </c>
      <c r="R35" s="33"/>
      <c r="S35" s="33"/>
      <c r="T35" s="8"/>
      <c r="U35" s="33" t="str">
        <f>"Cantidad Cortes "&amp;V3&amp;": "&amp;COUNT(V4:V34)</f>
        <v>Cantidad Cortes Barbero6: 0</v>
      </c>
      <c r="V35" s="33"/>
      <c r="W35" s="33"/>
      <c r="X35" s="8"/>
      <c r="Y35" s="33" t="str">
        <f>"Cantidad Cortes "&amp;Z3&amp;": "&amp;COUNT(Z4:Z34)</f>
        <v>Cantidad Cortes Barbero7: 0</v>
      </c>
      <c r="Z35" s="33"/>
      <c r="AA35" s="33"/>
      <c r="AB35" s="8"/>
      <c r="AC35" s="33" t="str">
        <f>"Cantidad Cortes "&amp;AD3&amp;": "&amp;COUNT(AD4:AD34)</f>
        <v>Cantidad Cortes Barbero8: 0</v>
      </c>
      <c r="AD35" s="33"/>
      <c r="AE35" s="33"/>
      <c r="AF35" s="8"/>
      <c r="AG35" s="33" t="str">
        <f>"Cantidad Cortes "&amp;AH3&amp;": "&amp;COUNT(AH4:AH34)</f>
        <v>Cantidad Cortes Barbero9: 0</v>
      </c>
      <c r="AH35" s="33"/>
      <c r="AI35" s="33"/>
      <c r="AJ35" s="8"/>
    </row>
    <row r="36" spans="1:36" s="7" customFormat="1" ht="30" customHeight="1" x14ac:dyDescent="0.3">
      <c r="A36" s="30" t="str">
        <f>"Total Cortes "&amp;B3&amp;":"&amp;TEXT(INT(SUM(B4:B34)*($M$1/100)),"$#.##0")</f>
        <v>Total Cortes Barbero1:$0</v>
      </c>
      <c r="B36" s="31"/>
      <c r="C36" s="32"/>
      <c r="D36" s="8"/>
      <c r="E36" s="30" t="str">
        <f>"Total Cortes "&amp;F3&amp;":"&amp;TEXT(INT(SUM(F4:F34)*$M$1/100),"$#.##0")</f>
        <v>Total Cortes Barbero2:$0</v>
      </c>
      <c r="F36" s="31"/>
      <c r="G36" s="32"/>
      <c r="H36" s="8"/>
      <c r="I36" s="30" t="str">
        <f>"Total Cortes "&amp;J3&amp;":"&amp;TEXT(INT(SUM(J4:J34)*$M$1/100),"$#.##0")</f>
        <v>Total Cortes Barbero3:$0</v>
      </c>
      <c r="J36" s="31"/>
      <c r="K36" s="32"/>
      <c r="L36" s="8"/>
      <c r="M36" s="30" t="str">
        <f>"Total Cortes "&amp;N3&amp;":"&amp;TEXT(INT(SUM(N4:N34)*$M$1/100),"$#.##0")</f>
        <v>Total Cortes Barbero4:$0</v>
      </c>
      <c r="N36" s="31"/>
      <c r="O36" s="32"/>
      <c r="P36" s="8"/>
      <c r="Q36" s="30" t="str">
        <f>"Total Cortes "&amp;R3&amp;":"&amp;TEXT(INT(SUM(R4:R34)*$M$1/100),"$#.##0")</f>
        <v>Total Cortes Barbero5:$0</v>
      </c>
      <c r="R36" s="31"/>
      <c r="S36" s="32"/>
      <c r="T36" s="8"/>
      <c r="U36" s="30" t="str">
        <f>"Total Cortes "&amp;V3&amp;":"&amp;TEXT(INT(SUM(V4:V34)*$M$1/100),"$#.##0")</f>
        <v>Total Cortes Barbero6:$0</v>
      </c>
      <c r="V36" s="31"/>
      <c r="W36" s="32"/>
      <c r="X36" s="8"/>
      <c r="Y36" s="30" t="str">
        <f>"Total Cortes "&amp;Z3&amp;":"&amp;TEXT(INT(SUM(Z4:Z34)*$M$1/100),"$#.##0")</f>
        <v>Total Cortes Barbero7:$0</v>
      </c>
      <c r="Z36" s="31"/>
      <c r="AA36" s="32"/>
      <c r="AB36" s="8"/>
      <c r="AC36" s="30" t="str">
        <f>"Total Cortes "&amp;AD3&amp;":"&amp;TEXT(INT(SUM(AD4:AD34)*$M$1/100),"$#.##0")</f>
        <v>Total Cortes Barbero8:$0</v>
      </c>
      <c r="AD36" s="31"/>
      <c r="AE36" s="32"/>
      <c r="AF36" s="8"/>
      <c r="AG36" s="30" t="str">
        <f>"Total Cortes "&amp;AH3&amp;":"&amp;TEXT(INT(SUM(AH4:AH34)*$M$1/100),"$#.##0")</f>
        <v>Total Cortes Barbero9:$0</v>
      </c>
      <c r="AH36" s="31"/>
      <c r="AI36" s="32"/>
      <c r="AJ36" s="8"/>
    </row>
    <row r="37" spans="1:36" s="7" customFormat="1" ht="30" customHeight="1" x14ac:dyDescent="0.3">
      <c r="A37" s="33" t="str">
        <f>"Total Propinas "&amp;B3&amp;":"&amp;TEXT(SUM(C4:C34),"$#.##0")</f>
        <v>Total Propinas Barbero1:$0</v>
      </c>
      <c r="B37" s="33"/>
      <c r="C37" s="33"/>
      <c r="D37" s="8"/>
      <c r="E37" s="33" t="str">
        <f>"Total Propinas "&amp;F3&amp;":"&amp;TEXT(SUM(G4:G34),"$#.##0")</f>
        <v>Total Propinas Barbero2:$0</v>
      </c>
      <c r="F37" s="33"/>
      <c r="G37" s="33"/>
      <c r="H37" s="8"/>
      <c r="I37" s="33" t="str">
        <f>"Total Propinas "&amp;J3&amp;":"&amp;TEXT(SUM(K4:K34),"$#.##0")</f>
        <v>Total Propinas Barbero3:$0</v>
      </c>
      <c r="J37" s="33"/>
      <c r="K37" s="33"/>
      <c r="L37" s="8"/>
      <c r="M37" s="33" t="str">
        <f>"Total Propinas "&amp;N3&amp;":"&amp;TEXT(SUM(O4:O34),"$#.##0")</f>
        <v>Total Propinas Barbero4:$0</v>
      </c>
      <c r="N37" s="33"/>
      <c r="O37" s="33"/>
      <c r="P37" s="8"/>
      <c r="Q37" s="33" t="str">
        <f>"Total Propinas "&amp;R3&amp;":"&amp;TEXT(SUM(S4:S34),"$#.##0")</f>
        <v>Total Propinas Barbero5:$0</v>
      </c>
      <c r="R37" s="33"/>
      <c r="S37" s="33"/>
      <c r="T37" s="8"/>
      <c r="U37" s="33" t="str">
        <f>"Total Propinas "&amp;V3&amp;":"&amp;TEXT(SUM(W4:W34),"$#.##0")</f>
        <v>Total Propinas Barbero6:$0</v>
      </c>
      <c r="V37" s="33"/>
      <c r="W37" s="33"/>
      <c r="X37" s="8"/>
      <c r="Y37" s="33" t="str">
        <f>"Total Propinas "&amp;Z3&amp;":"&amp;TEXT(SUM(AA4:AA34),"$#.##0")</f>
        <v>Total Propinas Barbero7:$0</v>
      </c>
      <c r="Z37" s="33"/>
      <c r="AA37" s="33"/>
      <c r="AB37" s="8"/>
      <c r="AC37" s="33" t="str">
        <f>"Total Propinas "&amp;AD3&amp;":"&amp;TEXT(SUM(AE4:AE34),"$#.##0")</f>
        <v>Total Propinas Barbero8:$0</v>
      </c>
      <c r="AD37" s="33"/>
      <c r="AE37" s="33"/>
      <c r="AF37" s="8"/>
      <c r="AG37" s="33" t="str">
        <f>"Total Propinas "&amp;AH3&amp;":"&amp;TEXT(SUM(AI4:AI34),"$#.##0")</f>
        <v>Total Propinas Barbero9:$0</v>
      </c>
      <c r="AH37" s="33"/>
      <c r="AI37" s="33"/>
      <c r="AJ37" s="8"/>
    </row>
    <row r="38" spans="1:36" s="7" customFormat="1" ht="30" customHeight="1" x14ac:dyDescent="0.3">
      <c r="A38" s="34" t="str">
        <f>"Adelanto "&amp;B$3&amp;":"&amp;TEXT(SUMIF(AdelantosVentas!$A$21:$A$35,"="&amp;B$3,AdelantosVentas!$B$21:$B$35),"$#.##0")</f>
        <v>Adelanto Barbero1:$0</v>
      </c>
      <c r="B38" s="34"/>
      <c r="C38" s="34"/>
      <c r="D38" s="8"/>
      <c r="E38" s="34" t="str">
        <f>"Adelanto "&amp;F$3&amp;":"&amp;TEXT(SUMIF(AdelantosVentas!$A$21:$A$35,"="&amp;F$3,AdelantosVentas!$B$21:$B$35),"$#.##0")</f>
        <v>Adelanto Barbero2:$0</v>
      </c>
      <c r="F38" s="34"/>
      <c r="G38" s="34"/>
      <c r="H38" s="8"/>
      <c r="I38" s="34" t="str">
        <f>"Adelanto "&amp;J$3&amp;":"&amp;TEXT(SUMIF(AdelantosVentas!$A$21:$A$35,"="&amp;J$3,AdelantosVentas!$B$21:$B$35),"$#.##0")</f>
        <v>Adelanto Barbero3:$0</v>
      </c>
      <c r="J38" s="34"/>
      <c r="K38" s="34"/>
      <c r="L38" s="8"/>
      <c r="M38" s="34" t="str">
        <f>"Adelanto "&amp;N$3&amp;":"&amp;TEXT(SUMIF(AdelantosVentas!$A$21:$A$35,"="&amp;N$3,AdelantosVentas!$B$21:$B$35),"$#.##0")</f>
        <v>Adelanto Barbero4:$0</v>
      </c>
      <c r="N38" s="34"/>
      <c r="O38" s="34"/>
      <c r="P38" s="8"/>
      <c r="Q38" s="34" t="str">
        <f>"Adelanto "&amp;R$3&amp;":"&amp;TEXT(SUMIF(AdelantosVentas!$A$21:$A$35,"="&amp;R$3,AdelantosVentas!$B$21:$B$35),"$#.##0")</f>
        <v>Adelanto Barbero5:$0</v>
      </c>
      <c r="R38" s="34"/>
      <c r="S38" s="34"/>
      <c r="T38" s="8"/>
      <c r="U38" s="34" t="str">
        <f>"Adelanto "&amp;V$3&amp;":"&amp;TEXT(SUMIF(AdelantosVentas!$A$21:$A$35,"="&amp;V$3,AdelantosVentas!$B$21:$B$35),"$#.##0")</f>
        <v>Adelanto Barbero6:$0</v>
      </c>
      <c r="V38" s="34"/>
      <c r="W38" s="34"/>
      <c r="X38" s="8"/>
      <c r="Y38" s="34" t="str">
        <f>"Adelanto "&amp;Z$3&amp;":"&amp;TEXT(SUMIF(AdelantosVentas!$A$21:$A$35,"="&amp;Z$3,AdelantosVentas!$B$21:$B$35),"$#.##0")</f>
        <v>Adelanto Barbero7:$0</v>
      </c>
      <c r="Z38" s="34"/>
      <c r="AA38" s="34"/>
      <c r="AB38" s="8"/>
      <c r="AC38" s="34" t="str">
        <f>"Adelanto "&amp;AD$3&amp;":"&amp;TEXT(SUMIF(AdelantosVentas!$A$21:$A$35,"="&amp;AD$3,AdelantosVentas!$B$21:$B$35),"$#.##0")</f>
        <v>Adelanto Barbero8:$0</v>
      </c>
      <c r="AD38" s="34"/>
      <c r="AE38" s="34"/>
      <c r="AF38" s="8"/>
      <c r="AG38" s="34" t="str">
        <f>"Adelanto "&amp;AH$3&amp;":"&amp;TEXT(SUMIF(AdelantosVentas!$A$21:$A$35,"="&amp;AH$3,AdelantosVentas!$B$21:$B$35),"$#.##0")</f>
        <v>Adelanto Barbero9:$0</v>
      </c>
      <c r="AH38" s="34"/>
      <c r="AI38" s="34"/>
      <c r="AJ38" s="8"/>
    </row>
    <row r="39" spans="1:36" s="7" customFormat="1" ht="30" customHeight="1" x14ac:dyDescent="0.25">
      <c r="A39" s="33" t="str">
        <f>"Total "&amp;B$3&amp;":"&amp;TEXT(VALUE(INT(SUM(B4:B34)*$M$1/100)+SUM(C4:C34)-SUMIF(AdelantosVentas!$A$21:$A$35,"="&amp;B$3,AdelantosVentas!$B$21:$B$35)),"$#.##0")</f>
        <v>Total Barbero1:$0</v>
      </c>
      <c r="B39" s="33"/>
      <c r="C39" s="33"/>
      <c r="D39" s="23"/>
      <c r="E39" s="33" t="str">
        <f>"Total "&amp;F$3&amp;":"&amp;TEXT(VALUE(INT(SUM(F4:F34)*$M$1/100)+SUM(G4:G34)-SUMIF(AdelantosVentas!$A$21:$A$35,"="&amp;F$3,AdelantosVentas!$B$21:$B$35)),"$#.##0")</f>
        <v>Total Barbero2:$0</v>
      </c>
      <c r="F39" s="33"/>
      <c r="G39" s="33"/>
      <c r="H39" s="23"/>
      <c r="I39" s="33" t="str">
        <f>"Total "&amp;J$3&amp;":"&amp;TEXT(VALUE(INT(SUM(J4:J34)*$M$1/100)+SUM(K4:K34)-SUMIF(AdelantosVentas!$A$21:$A$35,"="&amp;J$3,AdelantosVentas!$B$21:$B$35)),"$#.##0")</f>
        <v>Total Barbero3:$0</v>
      </c>
      <c r="J39" s="33"/>
      <c r="K39" s="33"/>
      <c r="L39" s="23"/>
      <c r="M39" s="33" t="str">
        <f>"Total "&amp;N$3&amp;":"&amp;TEXT(VALUE(INT(SUM(N4:N34)*$M$1/100)+SUM(O4:O34)-SUMIF(AdelantosVentas!$A$21:$A$35,"="&amp;N$3,AdelantosVentas!$B$21:$B$35)),"$#.##0")</f>
        <v>Total Barbero4:$0</v>
      </c>
      <c r="N39" s="33"/>
      <c r="O39" s="33"/>
      <c r="P39" s="23"/>
      <c r="Q39" s="46" t="str">
        <f>"Total "&amp;R$3&amp;":"&amp;TEXT(VALUE(INT(SUM(R4:R34)*$M$1/100)+SUM(S4:S34)-SUMIF(AdelantosVentas!$A$21:$A$35,"="&amp;R$3,AdelantosVentas!$B$21:$B$35)),"$#.##0")</f>
        <v>Total Barbero5:$0</v>
      </c>
      <c r="R39" s="46"/>
      <c r="S39" s="33"/>
      <c r="T39" s="23"/>
      <c r="U39" s="33" t="str">
        <f>"Total "&amp;V$3&amp;":"&amp;TEXT(VALUE(INT(SUM(V4:V34)*$M$1/100)+SUM(W4:W34)-SUMIF(AdelantosVentas!$A$21:$A$35,"="&amp;V$3,AdelantosVentas!$B$21:$B$35)),"$#.##0")</f>
        <v>Total Barbero6:$0</v>
      </c>
      <c r="V39" s="33"/>
      <c r="W39" s="33"/>
      <c r="X39" s="23"/>
      <c r="Y39" s="33" t="str">
        <f>"Total "&amp;Z$3&amp;":"&amp;TEXT(VALUE(INT(SUM(Z4:Z34)*$M$1/100)+SUM(AA4:AA34)-SUMIF(AdelantosVentas!$A$21:$A$35,"="&amp;Z$3,AdelantosVentas!$B$21:$B$35)),"$#.##0")</f>
        <v>Total Barbero7:$0</v>
      </c>
      <c r="Z39" s="33"/>
      <c r="AA39" s="33"/>
      <c r="AB39" s="23"/>
      <c r="AC39" s="33" t="str">
        <f>"Total "&amp;AD$3&amp;":"&amp;TEXT(VALUE(INT(SUM(AD4:AD34)*$M$1/100)+SUM(AE4:AE34)-SUMIF(AdelantosVentas!$A$21:$A$35,"="&amp;AD$3,AdelantosVentas!$B$21:$B$35)),"$#.##0")</f>
        <v>Total Barbero8:$0</v>
      </c>
      <c r="AD39" s="33"/>
      <c r="AE39" s="33"/>
      <c r="AF39" s="23"/>
      <c r="AG39" s="33" t="str">
        <f>"Total "&amp;AH$3&amp;":"&amp;TEXT(VALUE(INT(SUM(AH4:AH34)*$M$1/100)+SUM(AI4:AI34)-SUMIF(AdelantosVentas!$A$21:$A$35,"="&amp;AH$3,AdelantosVentas!$B$21:$B$35)),"$#.##0")</f>
        <v>Total Barbero9:$0</v>
      </c>
      <c r="AH39" s="33"/>
      <c r="AI39" s="33"/>
      <c r="AJ39" s="23"/>
    </row>
    <row r="40" spans="1:36" ht="27.75" customHeight="1" x14ac:dyDescent="0.25">
      <c r="B40" s="42" t="str" cm="1">
        <f t="array" ref="B40">"Total Caja: " &amp; TEXT(SUM(_xlfn._xlws.FILTER(B4:B34,ISBLANK(D4:D34)),_xlfn._xlws.FILTER(F4:F34,ISBLANK(H4:H34)),_xlfn._xlws.FILTER(J4:J34,ISBLANK(L4:L34)),_xlfn._xlws.FILTER(N4:N34,ISBLANK(P4:P34)),_xlfn._xlws.FILTER(R4:R34,ISBLANK(T4:T34)),_xlfn._xlws.FILTER(V4:V34,ISBLANK(X4:X34)),_xlfn._xlws.FILTER(Z4:Z34,ISBLANK(AB4:AB34)),_xlfn._xlws.FILTER(AD4:AD34,ISBLANK(AF4:AF34)),_xlfn._xlws.FILTER(AH4:AH34,ISBLANK(AJ4:AJ34)),AdelantosVentas!G36)-AdelantosVentas!B36+SUM(_xlfn._xlws.FILTER(C4:C34,ISBLANK(D4:D34)),_xlfn._xlws.FILTER(G4:G34,ISBLANK(H4:H34)),_xlfn._xlws.FILTER(K4:K34,ISBLANK(L4:L34)),_xlfn._xlws.FILTER(O4:O34,ISBLANK(P4:P34)),_xlfn._xlws.FILTER(S4:S34,ISBLANK(T4:T34)),_xlfn._xlws.FILTER(W4:W34,ISBLANK(X4:X34)),_xlfn._xlws.FILTER(AA4:AA34,ISBLANK(AB4:AB34)),_xlfn._xlws.FILTER(AE4:AE34,ISBLANK(AF4:AF34)),_xlfn._xlws.FILTER(AI4:AI34,ISBLANK(AJ4:AJ34))) + I1,"$#.##0")</f>
        <v>Total Caja: $0</v>
      </c>
      <c r="C40" s="42"/>
      <c r="D40" s="42"/>
      <c r="E40" s="42"/>
      <c r="F40" s="43" t="str" cm="1">
        <f t="array" ref="F40">"Total MP: " &amp; TEXT(SUM(_xlfn._xlws.FILTER(B4:B36,D4:D36="X",0),_xlfn._xlws.FILTER(F4:F34,H4:H34="X",0),_xlfn._xlws.FILTER(J4:J34,L4:L34="X",0),_xlfn._xlws.FILTER(N4:N34,P4:P34="X",0),_xlfn._xlws.FILTER(R4:R34,T4:T34="X",0),_xlfn._xlws.FILTER(V4:V34,X4:X34="X",0),_xlfn._xlws.FILTER(Z4:Z34,AB4:AB34="X",0),_xlfn._xlws.FILTER(AD4:AD34,AF4:AF34="X",0),_xlfn._xlws.FILTER(AH4:AH34,AJ4:AJ34="X",0),AdelantosVentas!H36) + SUM(_xlfn._xlws.FILTER(C4:C36,D4:D36="X",0),_xlfn._xlws.FILTER(G4:G34,H4:H34="X",0),_xlfn._xlws.FILTER(K4:K34,L4:L34="X",0),_xlfn._xlws.FILTER(O4:O34,P4:P34="X",0),_xlfn._xlws.FILTER(S4:S34,T4:T34="X",0),_xlfn._xlws.FILTER(W4:W34,X4:X34="X",0),_xlfn._xlws.FILTER(AA4:AA34,AB4:AB34="X",0),_xlfn._xlws.FILTER(AE4:AE34,AF4:AF34="X",0),_xlfn._xlws.FILTER(AI4:AI34,AJ4:AJ34="X",0))-AdelantosVentas!C36-IF(D39="X",INT(REPLACE(A39,1,8+LEN(B3),"")),0)-IF(H39="X",INT(REPLACE(E39,1,8+LEN(F3),"")),0)-IF(L39="X",INT(REPLACE(I39,1,8+LEN(J3),"")),0)-IF(P39="X",INT(REPLACE(M39,1,8+LEN(N3),"")),0)-IF(T39="X",INT(REPLACE(Q39,1,8+LEN(R3),"")),0)-IF(X39="X",INT(REPLACE(U39,1,8+LEN(V3),"")),0)-IF(AB39="X",INT(REPLACE(Y39,1,8+LEN(Z3),"")),0)-IF(AF39="X",INT(REPLACE(AC39,1,8+LEN(AD3),"")),0)-IF(AJ39="X",INT(REPLACE(AG39,1,8+LEN(H3),"")),0),"$#.##0")</f>
        <v>Total MP: $0</v>
      </c>
      <c r="G40" s="44"/>
      <c r="H40" s="44"/>
      <c r="I40" s="15" t="s">
        <v>13</v>
      </c>
      <c r="J40" s="45"/>
      <c r="K40" s="45"/>
      <c r="L40" s="45"/>
      <c r="M40" s="43" t="str">
        <f>"Cantidad cortes: "&amp;COUNTIF(B4:B36,"&gt;0" )+COUNTIF(F4:F34,"&gt;0" )+COUNTIF(J4:J34,"&gt;0" )+COUNTIF(N4:N34,"&gt;0" )+COUNTIF(R4:R34,"&gt;0" )+COUNTIF(V4:V34,"&gt;0" )+COUNTIF(Z4:Z34,"&gt;0" )+COUNTIF(AD4:AD34,"&gt;0" )+COUNTIF(AH4:AH34,"&gt;0" )&amp;""</f>
        <v>Cantidad cortes: 0</v>
      </c>
      <c r="N40" s="44"/>
      <c r="O40" s="44"/>
      <c r="P40" s="24" t="s">
        <v>16</v>
      </c>
      <c r="Q40" s="25"/>
      <c r="R40" s="27"/>
      <c r="S40" s="28"/>
      <c r="T40" s="28"/>
      <c r="U40" s="28"/>
      <c r="V40" s="28"/>
      <c r="W40" s="28"/>
      <c r="X40" s="28"/>
      <c r="Y40" s="28"/>
      <c r="Z40" s="28"/>
      <c r="AA40" s="28"/>
      <c r="AB40" s="29"/>
    </row>
  </sheetData>
  <mergeCells count="54">
    <mergeCell ref="AG39:AI39"/>
    <mergeCell ref="M39:O39"/>
    <mergeCell ref="Q39:S39"/>
    <mergeCell ref="U39:W39"/>
    <mergeCell ref="Y39:AA39"/>
    <mergeCell ref="AC39:AE39"/>
    <mergeCell ref="Q35:S35"/>
    <mergeCell ref="U35:W35"/>
    <mergeCell ref="Y35:AA35"/>
    <mergeCell ref="AC35:AE35"/>
    <mergeCell ref="AG35:AI35"/>
    <mergeCell ref="D1:E1"/>
    <mergeCell ref="M36:O36"/>
    <mergeCell ref="M37:O37"/>
    <mergeCell ref="M38:O38"/>
    <mergeCell ref="B40:E40"/>
    <mergeCell ref="E38:G38"/>
    <mergeCell ref="F40:H40"/>
    <mergeCell ref="J40:L40"/>
    <mergeCell ref="M40:O40"/>
    <mergeCell ref="A35:C35"/>
    <mergeCell ref="E35:G35"/>
    <mergeCell ref="I35:K35"/>
    <mergeCell ref="M35:O35"/>
    <mergeCell ref="A39:C39"/>
    <mergeCell ref="E39:G39"/>
    <mergeCell ref="I39:K39"/>
    <mergeCell ref="I36:K36"/>
    <mergeCell ref="I37:K37"/>
    <mergeCell ref="I38:K38"/>
    <mergeCell ref="G1:H1"/>
    <mergeCell ref="I1:J1"/>
    <mergeCell ref="K1:L1"/>
    <mergeCell ref="A36:C36"/>
    <mergeCell ref="A37:C37"/>
    <mergeCell ref="A38:C38"/>
    <mergeCell ref="E36:G36"/>
    <mergeCell ref="E37:G37"/>
    <mergeCell ref="R40:AB40"/>
    <mergeCell ref="AC36:AE36"/>
    <mergeCell ref="AC37:AE37"/>
    <mergeCell ref="AG36:AI36"/>
    <mergeCell ref="AG37:AI37"/>
    <mergeCell ref="Q38:S38"/>
    <mergeCell ref="U38:W38"/>
    <mergeCell ref="Y38:AA38"/>
    <mergeCell ref="AC38:AE38"/>
    <mergeCell ref="AG38:AI38"/>
    <mergeCell ref="Q36:S36"/>
    <mergeCell ref="Q37:S37"/>
    <mergeCell ref="U36:W36"/>
    <mergeCell ref="U37:W37"/>
    <mergeCell ref="Y36:AA36"/>
    <mergeCell ref="Y37:AA37"/>
  </mergeCells>
  <conditionalFormatting sqref="A39">
    <cfRule type="expression" dxfId="33" priority="42">
      <formula>$D$39="x"</formula>
    </cfRule>
  </conditionalFormatting>
  <conditionalFormatting sqref="C4 G4 K4 O4 S4 W4 AA4 AE4 AI4">
    <cfRule type="expression" dxfId="32" priority="46">
      <formula>D4:D34="x"</formula>
    </cfRule>
  </conditionalFormatting>
  <conditionalFormatting sqref="C5:C7 G5:G7 K5:K7 O5:O7 S5:S7 W5:W7 AA5:AA7 AE5:AE7 AI5:AI7">
    <cfRule type="expression" dxfId="31" priority="66">
      <formula>D5:D36="x"</formula>
    </cfRule>
  </conditionalFormatting>
  <conditionalFormatting sqref="C8:C34 G8:G34 K8:K34 O8:O34 S8:S34 W8:W34 AA8:AA34 AE8:AE34 AI8:AI34">
    <cfRule type="expression" dxfId="30" priority="86">
      <formula>D8:D40="x"</formula>
    </cfRule>
  </conditionalFormatting>
  <conditionalFormatting sqref="D4:D34 H4:H34 L4:L34 P4:P34 T4:T34 X4:X34 AB4:AB34 AF4:AF34 AJ4:AJ34">
    <cfRule type="beginsWith" dxfId="29" priority="41" operator="beginsWith" text="X">
      <formula>LEFT(D4,LEN("X"))="X"</formula>
    </cfRule>
  </conditionalFormatting>
  <conditionalFormatting sqref="D39">
    <cfRule type="beginsWith" dxfId="28" priority="18" operator="beginsWith" text="X">
      <formula>LEFT(D39,LEN("X"))="X"</formula>
    </cfRule>
  </conditionalFormatting>
  <conditionalFormatting sqref="E39">
    <cfRule type="expression" dxfId="27" priority="8">
      <formula>$H$39="x"</formula>
    </cfRule>
  </conditionalFormatting>
  <conditionalFormatting sqref="H39">
    <cfRule type="beginsWith" dxfId="26" priority="17" operator="beginsWith" text="X">
      <formula>LEFT(H39,LEN("X"))="X"</formula>
    </cfRule>
  </conditionalFormatting>
  <conditionalFormatting sqref="I39">
    <cfRule type="expression" dxfId="25" priority="7">
      <formula>$L$39="x"</formula>
    </cfRule>
  </conditionalFormatting>
  <conditionalFormatting sqref="L39">
    <cfRule type="beginsWith" dxfId="24" priority="16" operator="beginsWith" text="X">
      <formula>LEFT(L39,LEN("X"))="X"</formula>
    </cfRule>
  </conditionalFormatting>
  <conditionalFormatting sqref="M39">
    <cfRule type="expression" dxfId="23" priority="6">
      <formula>$P$39="x"</formula>
    </cfRule>
  </conditionalFormatting>
  <conditionalFormatting sqref="P39">
    <cfRule type="beginsWith" dxfId="22" priority="15" operator="beginsWith" text="X">
      <formula>LEFT(P39,LEN("X"))="X"</formula>
    </cfRule>
  </conditionalFormatting>
  <conditionalFormatting sqref="Q39">
    <cfRule type="expression" dxfId="21" priority="5">
      <formula>$T$39="x"</formula>
    </cfRule>
  </conditionalFormatting>
  <conditionalFormatting sqref="T39">
    <cfRule type="beginsWith" dxfId="20" priority="14" operator="beginsWith" text="X">
      <formula>LEFT(T39,LEN("X"))="X"</formula>
    </cfRule>
  </conditionalFormatting>
  <conditionalFormatting sqref="U39">
    <cfRule type="expression" dxfId="19" priority="4">
      <formula>$X$39="x"</formula>
    </cfRule>
  </conditionalFormatting>
  <conditionalFormatting sqref="X39">
    <cfRule type="beginsWith" dxfId="18" priority="13" operator="beginsWith" text="X">
      <formula>LEFT(X39,LEN("X"))="X"</formula>
    </cfRule>
  </conditionalFormatting>
  <conditionalFormatting sqref="Y39">
    <cfRule type="expression" dxfId="17" priority="3">
      <formula>$AB$39="x"</formula>
    </cfRule>
  </conditionalFormatting>
  <conditionalFormatting sqref="AB39">
    <cfRule type="beginsWith" dxfId="16" priority="12" operator="beginsWith" text="X">
      <formula>LEFT(AB39,LEN("X"))="X"</formula>
    </cfRule>
  </conditionalFormatting>
  <conditionalFormatting sqref="AC39">
    <cfRule type="expression" dxfId="15" priority="2">
      <formula>$AF$39="x"</formula>
    </cfRule>
  </conditionalFormatting>
  <conditionalFormatting sqref="AD4 AH4 B4:B34 F4:F34 J4:J34 N4:N34 R4:R34 V4:V34 Z4:Z34">
    <cfRule type="expression" dxfId="14" priority="9">
      <formula>D4:D34="x"</formula>
    </cfRule>
  </conditionalFormatting>
  <conditionalFormatting sqref="AD5:AD7 AH5:AH7">
    <cfRule type="expression" dxfId="13" priority="48">
      <formula>AF5:AF36="x"</formula>
    </cfRule>
  </conditionalFormatting>
  <conditionalFormatting sqref="AD8:AD34 AH8:AH34">
    <cfRule type="expression" dxfId="12" priority="68">
      <formula>AF8:AF40="x"</formula>
    </cfRule>
  </conditionalFormatting>
  <conditionalFormatting sqref="AF39">
    <cfRule type="beginsWith" dxfId="11" priority="11" operator="beginsWith" text="X">
      <formula>LEFT(AF39,LEN("X"))="X"</formula>
    </cfRule>
  </conditionalFormatting>
  <conditionalFormatting sqref="AG39">
    <cfRule type="expression" dxfId="10" priority="1">
      <formula>$AJ$39="x"</formula>
    </cfRule>
  </conditionalFormatting>
  <conditionalFormatting sqref="AJ39">
    <cfRule type="beginsWith" dxfId="9" priority="10" operator="beginsWith" text="X">
      <formula>LEFT(AJ39,LEN("X"))="X"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A758-FA64-4BB3-BD95-5A03C71FE753}">
  <sheetPr codeName="Sheet2"/>
  <dimension ref="A1:H36"/>
  <sheetViews>
    <sheetView tabSelected="1" topLeftCell="A13" zoomScale="85" zoomScaleNormal="85" workbookViewId="0">
      <selection activeCell="A30" sqref="A30"/>
    </sheetView>
  </sheetViews>
  <sheetFormatPr baseColWidth="10" defaultColWidth="9.21875" defaultRowHeight="15" x14ac:dyDescent="0.25"/>
  <cols>
    <col min="1" max="1" width="40.77734375" style="1" customWidth="1"/>
    <col min="2" max="2" width="22.77734375" style="1" customWidth="1"/>
    <col min="3" max="3" width="11.44140625" style="1" customWidth="1"/>
    <col min="4" max="5" width="9.21875" style="1"/>
    <col min="6" max="6" width="28.21875" style="1" customWidth="1"/>
    <col min="7" max="7" width="20.21875" style="1" customWidth="1"/>
    <col min="8" max="8" width="9.77734375" style="1" customWidth="1"/>
    <col min="9" max="16384" width="9.21875" style="1"/>
  </cols>
  <sheetData>
    <row r="1" spans="1:8" ht="27" customHeight="1" x14ac:dyDescent="0.25">
      <c r="A1" s="47" t="s">
        <v>4</v>
      </c>
      <c r="B1" s="48"/>
      <c r="C1" s="49"/>
      <c r="F1" s="47" t="s">
        <v>10</v>
      </c>
      <c r="G1" s="48"/>
      <c r="H1" s="49"/>
    </row>
    <row r="2" spans="1:8" ht="15.6" x14ac:dyDescent="0.3">
      <c r="A2" s="2" t="s">
        <v>5</v>
      </c>
      <c r="B2" s="2" t="s">
        <v>6</v>
      </c>
      <c r="C2" s="2" t="s">
        <v>2</v>
      </c>
      <c r="F2" s="2" t="s">
        <v>9</v>
      </c>
      <c r="G2" s="2" t="s">
        <v>6</v>
      </c>
      <c r="H2" s="2" t="s">
        <v>2</v>
      </c>
    </row>
    <row r="3" spans="1:8" x14ac:dyDescent="0.25">
      <c r="A3" s="3"/>
      <c r="B3" s="17"/>
      <c r="C3" s="14"/>
      <c r="F3" s="14"/>
      <c r="G3" s="18"/>
      <c r="H3" s="18"/>
    </row>
    <row r="4" spans="1:8" x14ac:dyDescent="0.25">
      <c r="A4" s="3"/>
      <c r="B4" s="17"/>
      <c r="C4" s="14"/>
      <c r="F4" s="14"/>
      <c r="G4" s="18"/>
      <c r="H4" s="18"/>
    </row>
    <row r="5" spans="1:8" x14ac:dyDescent="0.25">
      <c r="A5" s="3"/>
      <c r="B5" s="17"/>
      <c r="C5" s="14"/>
      <c r="F5" s="14"/>
      <c r="G5" s="18"/>
      <c r="H5" s="18"/>
    </row>
    <row r="6" spans="1:8" x14ac:dyDescent="0.25">
      <c r="A6" s="3"/>
      <c r="B6" s="17"/>
      <c r="C6" s="14"/>
      <c r="F6" s="14"/>
      <c r="G6" s="18"/>
      <c r="H6" s="18"/>
    </row>
    <row r="7" spans="1:8" x14ac:dyDescent="0.25">
      <c r="A7" s="3"/>
      <c r="B7" s="17"/>
      <c r="C7" s="14"/>
      <c r="F7" s="14"/>
      <c r="G7" s="18"/>
      <c r="H7" s="18"/>
    </row>
    <row r="8" spans="1:8" x14ac:dyDescent="0.25">
      <c r="A8" s="3"/>
      <c r="B8" s="17"/>
      <c r="C8" s="14"/>
      <c r="F8" s="14"/>
      <c r="G8" s="18"/>
      <c r="H8" s="18"/>
    </row>
    <row r="9" spans="1:8" x14ac:dyDescent="0.25">
      <c r="A9" s="3"/>
      <c r="B9" s="17"/>
      <c r="C9" s="14"/>
      <c r="F9" s="14"/>
      <c r="G9" s="18"/>
      <c r="H9" s="18"/>
    </row>
    <row r="10" spans="1:8" x14ac:dyDescent="0.25">
      <c r="A10" s="3"/>
      <c r="B10" s="17"/>
      <c r="C10" s="14"/>
      <c r="F10" s="14"/>
      <c r="G10" s="18"/>
      <c r="H10" s="18"/>
    </row>
    <row r="11" spans="1:8" x14ac:dyDescent="0.25">
      <c r="A11" s="3"/>
      <c r="B11" s="17"/>
      <c r="C11" s="14"/>
      <c r="F11" s="14"/>
      <c r="G11" s="18"/>
      <c r="H11" s="18"/>
    </row>
    <row r="12" spans="1:8" x14ac:dyDescent="0.25">
      <c r="A12" s="3"/>
      <c r="B12" s="17"/>
      <c r="C12" s="14"/>
      <c r="F12" s="14"/>
      <c r="G12" s="18"/>
      <c r="H12" s="18"/>
    </row>
    <row r="13" spans="1:8" x14ac:dyDescent="0.25">
      <c r="A13" s="3"/>
      <c r="B13" s="17"/>
      <c r="C13" s="14"/>
      <c r="F13" s="14"/>
      <c r="G13" s="18"/>
      <c r="H13" s="18"/>
    </row>
    <row r="14" spans="1:8" x14ac:dyDescent="0.25">
      <c r="A14" s="3"/>
      <c r="B14" s="17"/>
      <c r="C14" s="14"/>
      <c r="F14" s="14"/>
      <c r="G14" s="18"/>
      <c r="H14" s="18"/>
    </row>
    <row r="15" spans="1:8" x14ac:dyDescent="0.25">
      <c r="A15" s="3"/>
      <c r="B15" s="17"/>
      <c r="C15" s="14"/>
      <c r="F15" s="14"/>
      <c r="G15" s="18"/>
      <c r="H15" s="18"/>
    </row>
    <row r="16" spans="1:8" x14ac:dyDescent="0.25">
      <c r="A16" s="3"/>
      <c r="B16" s="17"/>
      <c r="C16" s="14"/>
      <c r="F16" s="14"/>
      <c r="G16" s="18"/>
      <c r="H16" s="18"/>
    </row>
    <row r="17" spans="1:8" x14ac:dyDescent="0.25">
      <c r="A17" s="3"/>
      <c r="B17" s="17"/>
      <c r="C17" s="14"/>
      <c r="F17" s="14"/>
      <c r="G17" s="18"/>
      <c r="H17" s="18"/>
    </row>
    <row r="18" spans="1:8" x14ac:dyDescent="0.25">
      <c r="A18" s="3"/>
      <c r="B18" s="17"/>
      <c r="C18" s="14"/>
      <c r="F18" s="14"/>
      <c r="G18" s="18"/>
      <c r="H18" s="18"/>
    </row>
    <row r="19" spans="1:8" ht="15.6" x14ac:dyDescent="0.3">
      <c r="A19" s="50" t="s">
        <v>7</v>
      </c>
      <c r="B19" s="51"/>
      <c r="C19" s="52"/>
      <c r="F19" s="14"/>
      <c r="G19" s="18"/>
      <c r="H19" s="18"/>
    </row>
    <row r="20" spans="1:8" ht="15.6" x14ac:dyDescent="0.3">
      <c r="A20" s="2" t="s">
        <v>0</v>
      </c>
      <c r="B20" s="2" t="s">
        <v>6</v>
      </c>
      <c r="C20" s="2" t="s">
        <v>2</v>
      </c>
      <c r="F20" s="14"/>
      <c r="G20" s="18"/>
      <c r="H20" s="18"/>
    </row>
    <row r="21" spans="1:8" x14ac:dyDescent="0.25">
      <c r="A21" s="3" t="str">
        <f>Barberos!B$3</f>
        <v>Barbero1</v>
      </c>
      <c r="B21" s="17"/>
      <c r="C21" s="14"/>
      <c r="F21" s="14"/>
      <c r="G21" s="18"/>
      <c r="H21" s="18"/>
    </row>
    <row r="22" spans="1:8" x14ac:dyDescent="0.25">
      <c r="A22" s="3" t="str">
        <f>Barberos!F$3</f>
        <v>Barbero2</v>
      </c>
      <c r="B22" s="17"/>
      <c r="C22" s="14"/>
      <c r="F22" s="14"/>
      <c r="G22" s="18"/>
      <c r="H22" s="18"/>
    </row>
    <row r="23" spans="1:8" x14ac:dyDescent="0.25">
      <c r="A23" s="3" t="str">
        <f>Barberos!J$3</f>
        <v>Barbero3</v>
      </c>
      <c r="B23" s="17"/>
      <c r="C23" s="14"/>
      <c r="F23" s="14"/>
      <c r="G23" s="18"/>
      <c r="H23" s="18"/>
    </row>
    <row r="24" spans="1:8" x14ac:dyDescent="0.25">
      <c r="A24" s="3" t="str">
        <f>Barberos!N$3</f>
        <v>Barbero4</v>
      </c>
      <c r="B24" s="17"/>
      <c r="C24" s="14"/>
      <c r="F24" s="14"/>
      <c r="G24" s="18"/>
      <c r="H24" s="18"/>
    </row>
    <row r="25" spans="1:8" x14ac:dyDescent="0.25">
      <c r="A25" s="3" t="str">
        <f>Barberos!R$3</f>
        <v>Barbero5</v>
      </c>
      <c r="B25" s="17"/>
      <c r="C25" s="14"/>
      <c r="F25" s="14"/>
      <c r="G25" s="18"/>
      <c r="H25" s="18"/>
    </row>
    <row r="26" spans="1:8" x14ac:dyDescent="0.25">
      <c r="A26" s="3" t="str">
        <f>Barberos!V$3</f>
        <v>Barbero6</v>
      </c>
      <c r="B26" s="17"/>
      <c r="C26" s="14"/>
      <c r="F26" s="14"/>
      <c r="G26" s="18"/>
      <c r="H26" s="18"/>
    </row>
    <row r="27" spans="1:8" x14ac:dyDescent="0.25">
      <c r="A27" s="3" t="str">
        <f>Barberos!Z$3</f>
        <v>Barbero7</v>
      </c>
      <c r="B27" s="17"/>
      <c r="C27" s="14"/>
      <c r="F27" s="14"/>
      <c r="G27" s="18"/>
      <c r="H27" s="18"/>
    </row>
    <row r="28" spans="1:8" x14ac:dyDescent="0.25">
      <c r="A28" s="3" t="str">
        <f>Barberos!AD$3</f>
        <v>Barbero8</v>
      </c>
      <c r="B28" s="17"/>
      <c r="C28" s="14"/>
      <c r="F28" s="14"/>
      <c r="G28" s="18"/>
      <c r="H28" s="18"/>
    </row>
    <row r="29" spans="1:8" x14ac:dyDescent="0.25">
      <c r="A29" s="3" t="str">
        <f>Barberos!AH$3</f>
        <v>Barbero9</v>
      </c>
      <c r="B29" s="17"/>
      <c r="C29" s="14"/>
      <c r="F29" s="14"/>
      <c r="G29" s="18"/>
      <c r="H29" s="18"/>
    </row>
    <row r="30" spans="1:8" x14ac:dyDescent="0.25">
      <c r="A30" s="3"/>
      <c r="B30" s="17"/>
      <c r="C30" s="14"/>
      <c r="F30" s="14"/>
      <c r="G30" s="18"/>
      <c r="H30" s="18"/>
    </row>
    <row r="31" spans="1:8" x14ac:dyDescent="0.25">
      <c r="A31" s="3"/>
      <c r="B31" s="17"/>
      <c r="C31" s="14"/>
      <c r="F31" s="14"/>
      <c r="G31" s="18"/>
      <c r="H31" s="18"/>
    </row>
    <row r="32" spans="1:8" x14ac:dyDescent="0.25">
      <c r="A32" s="3"/>
      <c r="B32" s="17"/>
      <c r="C32" s="14"/>
      <c r="F32" s="14"/>
      <c r="G32" s="18"/>
      <c r="H32" s="18"/>
    </row>
    <row r="33" spans="1:8" x14ac:dyDescent="0.25">
      <c r="A33" s="3"/>
      <c r="B33" s="17"/>
      <c r="C33" s="14"/>
      <c r="F33" s="14"/>
      <c r="G33" s="18"/>
      <c r="H33" s="18"/>
    </row>
    <row r="34" spans="1:8" x14ac:dyDescent="0.25">
      <c r="A34" s="3"/>
      <c r="B34" s="17"/>
      <c r="C34" s="14"/>
      <c r="F34" s="14"/>
      <c r="G34" s="18"/>
      <c r="H34" s="18"/>
    </row>
    <row r="35" spans="1:8" ht="15.6" x14ac:dyDescent="0.3">
      <c r="A35" s="3"/>
      <c r="B35" s="4" t="s">
        <v>14</v>
      </c>
      <c r="C35" s="16" t="s">
        <v>2</v>
      </c>
      <c r="F35" s="14"/>
      <c r="G35" s="19" t="s">
        <v>14</v>
      </c>
      <c r="H35" s="19" t="s">
        <v>2</v>
      </c>
    </row>
    <row r="36" spans="1:8" ht="26.25" customHeight="1" x14ac:dyDescent="0.3">
      <c r="A36" s="4" t="s">
        <v>8</v>
      </c>
      <c r="B36" s="18">
        <f>SUMIF(C3:C34,"=",B3:B34)</f>
        <v>0</v>
      </c>
      <c r="C36" s="18">
        <f>SUMIF(C3:C34,"=x",B3:B34)</f>
        <v>0</v>
      </c>
      <c r="F36" s="4" t="s">
        <v>8</v>
      </c>
      <c r="G36" s="18">
        <f>SUMIF(H3:H34,"=",G3:G34)</f>
        <v>0</v>
      </c>
      <c r="H36" s="18">
        <f>SUMIF(H3:H34,"=x",G3:G34)</f>
        <v>0</v>
      </c>
    </row>
  </sheetData>
  <mergeCells count="3">
    <mergeCell ref="F1:H1"/>
    <mergeCell ref="A1:C1"/>
    <mergeCell ref="A19:C19"/>
  </mergeCells>
  <conditionalFormatting sqref="A3:A18">
    <cfRule type="expression" dxfId="8" priority="8">
      <formula>C3:C18="x"</formula>
    </cfRule>
  </conditionalFormatting>
  <conditionalFormatting sqref="A21:A34">
    <cfRule type="expression" dxfId="7" priority="4">
      <formula>C21:C34="x"</formula>
    </cfRule>
  </conditionalFormatting>
  <conditionalFormatting sqref="B3:B18">
    <cfRule type="expression" dxfId="6" priority="7">
      <formula>C3:C18="x"</formula>
    </cfRule>
  </conditionalFormatting>
  <conditionalFormatting sqref="B21:B34">
    <cfRule type="expression" dxfId="5" priority="3">
      <formula>C21:C34="x"</formula>
    </cfRule>
  </conditionalFormatting>
  <conditionalFormatting sqref="C3:C18">
    <cfRule type="expression" dxfId="4" priority="2">
      <formula>C3:C18="x"</formula>
    </cfRule>
  </conditionalFormatting>
  <conditionalFormatting sqref="C21:C36">
    <cfRule type="expression" dxfId="3" priority="1">
      <formula>C21:C36="x"</formula>
    </cfRule>
  </conditionalFormatting>
  <conditionalFormatting sqref="F3:F34">
    <cfRule type="expression" dxfId="2" priority="12">
      <formula>H3:H34="x"</formula>
    </cfRule>
  </conditionalFormatting>
  <conditionalFormatting sqref="G3:G34">
    <cfRule type="expression" dxfId="1" priority="10">
      <formula>H3:H34="x"</formula>
    </cfRule>
  </conditionalFormatting>
  <conditionalFormatting sqref="H3:H34">
    <cfRule type="containsText" dxfId="0" priority="13" operator="containsText" text="X">
      <formula>NOT(ISERROR(SEARCH("X",H3)))</formula>
    </cfRule>
  </conditionalFormatting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Barberos</vt:lpstr>
      <vt:lpstr>AdelantosVentas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Broogel</dc:creator>
  <cp:lastModifiedBy>Brian Gelhorn</cp:lastModifiedBy>
  <dcterms:created xsi:type="dcterms:W3CDTF">2024-10-14T15:09:56Z</dcterms:created>
  <dcterms:modified xsi:type="dcterms:W3CDTF">2026-06-27T19:27:44Z</dcterms:modified>
</cp:coreProperties>
</file>